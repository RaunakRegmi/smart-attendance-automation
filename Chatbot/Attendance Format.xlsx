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Sheet" sheetId="1" r:id="rId5"/>
    <sheet state="visible" name="Weekly Repor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9">
      <text>
        <t xml:space="preserve">Call not received.</t>
      </text>
    </comment>
    <comment authorId="0" ref="F10">
      <text>
        <t xml:space="preserve">Due to puja home.</t>
      </text>
    </comment>
    <comment authorId="0" ref="M10">
      <text>
        <t xml:space="preserve">Send Mail-Due to going to Pokhara with his family. 2 time  call his parent call  not received</t>
      </text>
    </comment>
    <comment authorId="0" ref="N10">
      <text>
        <t xml:space="preserve">going to Pokhara with his family.talk to his parent he said will come from tomorrow.</t>
      </text>
    </comment>
    <comment authorId="0" ref="Q10">
      <text>
        <t xml:space="preserve">Send Mail-not feeling well</t>
      </text>
    </comment>
    <comment authorId="0" ref="E11">
      <text>
        <t xml:space="preserve">Send Mail-due to feeling unwell with a fever and headache</t>
      </text>
    </comment>
    <comment authorId="0" ref="O11">
      <text>
        <t xml:space="preserve">Not feeling well.</t>
      </text>
    </comment>
    <comment authorId="0" ref="I12">
      <text>
        <t xml:space="preserve">Send Mail-due to some important work</t>
      </text>
    </comment>
    <comment authorId="0" ref="N12">
      <text>
        <t xml:space="preserve">Call  not received.</t>
      </text>
    </comment>
    <comment authorId="0" ref="AA12">
      <text>
        <t xml:space="preserve">He just arrived kathmandu from out of valley.</t>
      </text>
    </comment>
    <comment authorId="0" ref="E13">
      <text>
        <t xml:space="preserve">Send  message her in whatsapp about his absent.</t>
      </text>
    </comment>
    <comment authorId="0" ref="Q13">
      <text>
        <t xml:space="preserve">Call not received</t>
      </text>
    </comment>
    <comment authorId="0" ref="AC13">
      <text>
        <t xml:space="preserve"> Call not received.</t>
      </text>
    </comment>
    <comment authorId="0" ref="T14">
      <text>
        <t xml:space="preserve">due to headpain.</t>
      </text>
    </comment>
    <comment authorId="0" ref="W14">
      <text>
        <t xml:space="preserve">Call not received</t>
      </text>
    </comment>
    <comment authorId="0" ref="E15">
      <text>
        <t xml:space="preserve">Call  not received , Message him in whatsapp about her absent.he relpy  message due to out of valley will come from thursday.</t>
      </text>
    </comment>
    <comment authorId="0" ref="F15">
      <text>
        <t xml:space="preserve"> out of valley will come from thursday.student Services department reply his mail .</t>
      </text>
    </comment>
    <comment authorId="0" ref="G15">
      <text>
        <t xml:space="preserve">Send Mail-Out of valley due to severe weather conditions. until  thursday  parent call not received.</t>
      </text>
    </comment>
    <comment authorId="0" ref="H15">
      <text>
        <t xml:space="preserve">Went  to Codarambha Hackfest </t>
      </text>
    </comment>
    <comment authorId="0" ref="O15">
      <text>
        <t xml:space="preserve">Send Mail- Due to under the weather.also talk with his uncle about low attendance.</t>
      </text>
    </comment>
    <comment authorId="0" ref="V15">
      <text>
        <t xml:space="preserve">Parent call not received.</t>
      </text>
    </comment>
    <comment authorId="0" ref="W15">
      <text>
        <t xml:space="preserve"> Talk to his uncle about low attendance.</t>
      </text>
    </comment>
    <comment authorId="0" ref="AF15">
      <text>
        <t xml:space="preserve">Due to headache , call his mother call not received</t>
      </text>
    </comment>
    <comment authorId="0" ref="E16">
      <text>
        <t xml:space="preserve">Out of valley today she said will come from tomorrow.</t>
      </text>
    </comment>
    <comment authorId="0" ref="F16">
      <text>
        <t xml:space="preserve"> Her call received by her sister she said due to personal work.</t>
      </text>
    </comment>
    <comment authorId="0" ref="G16">
      <text>
        <t xml:space="preserve">Not attend Second class due to period cramps.</t>
      </text>
    </comment>
    <comment authorId="0" ref="O16">
      <text>
        <t xml:space="preserve">Sabina  Mam talk to her about absent she said that she was not feeling well.</t>
      </text>
    </comment>
    <comment authorId="0" ref="E18">
      <text>
        <t xml:space="preserve">Send Mail-Out of valley will  not come one week.</t>
      </text>
    </comment>
    <comment authorId="0" ref="F18">
      <text>
        <t xml:space="preserve">Send Mail-Out of valley  will come from next week..student Services department reply his mail .</t>
      </text>
    </comment>
    <comment authorId="0" ref="G18">
      <text>
        <t xml:space="preserve">Send Mail-Out of valley  will come from next week..student Services department reply his mail  .sister call not received</t>
      </text>
    </comment>
    <comment authorId="0" ref="AE18">
      <text>
        <t xml:space="preserve">send email -due to feeling not well</t>
      </text>
    </comment>
    <comment authorId="0" ref="E19">
      <text>
        <t xml:space="preserve">Out of valley will  not come one week.</t>
      </text>
    </comment>
    <comment authorId="0" ref="F19">
      <text>
        <t xml:space="preserve">Send Mail- Out of valley , will not come 2/3 days,student Services department reply his mail .</t>
      </text>
    </comment>
    <comment authorId="0" ref="E22">
      <text>
        <t xml:space="preserve">Call  not received, message him in whatsapp about his absent.</t>
      </text>
    </comment>
    <comment authorId="0" ref="F22">
      <text>
        <t xml:space="preserve">due to  out of valley, road blockwill not come this week.</t>
      </text>
    </comment>
    <comment authorId="0" ref="G22">
      <text>
        <t xml:space="preserve">due to  out of valley, road blockwill not come this week, parent call also not received.</t>
      </text>
    </comment>
    <comment authorId="0" ref="AF23">
      <text>
        <t xml:space="preserve">Due to personal work.</t>
      </text>
    </comment>
    <comment authorId="0" ref="G24">
      <text>
        <t xml:space="preserve">Send Mail-have to go to Manakamana for puja with her whole family,Student services department reply her mail.</t>
      </text>
    </comment>
    <comment authorId="0" ref="AB25">
      <text>
        <t xml:space="preserve"> Call not received</t>
      </text>
    </comment>
    <comment authorId="0" ref="F27">
      <text>
        <t xml:space="preserve">Due to period cramps</t>
      </text>
    </comment>
    <comment authorId="0" ref="H27">
      <text>
        <t xml:space="preserve">Went  to Codarambha Hackfest </t>
      </text>
    </comment>
    <comment authorId="0" ref="R27">
      <text>
        <t xml:space="preserve">Due to not feeling well, in morning.</t>
      </text>
    </comment>
    <comment authorId="0" ref="AB27">
      <text>
        <t xml:space="preserve">Was late.</t>
      </text>
    </comment>
    <comment authorId="0" ref="AF27">
      <text>
        <t xml:space="preserve">Her call  not received , parent call not connected</t>
      </text>
    </comment>
    <comment authorId="0" ref="H28">
      <text>
        <t xml:space="preserve">Went  to Codarambha Hackfest </t>
      </text>
    </comment>
    <comment authorId="0" ref="R28">
      <text>
        <t xml:space="preserve">Late wake up.</t>
      </text>
    </comment>
    <comment authorId="0" ref="W28">
      <text>
        <t xml:space="preserve">Due to personal work.</t>
      </text>
    </comment>
    <comment authorId="0" ref="Y28">
      <text>
        <t xml:space="preserve">Not feeling well.</t>
      </text>
    </comment>
    <comment authorId="0" ref="Q29">
      <text>
        <t xml:space="preserve">Call not received</t>
      </text>
    </comment>
    <comment authorId="0" ref="M31">
      <text>
        <t xml:space="preserve"> Not feeling well.</t>
      </text>
    </comment>
    <comment authorId="0" ref="AB32">
      <text>
        <t xml:space="preserve">Due to poisoning.</t>
      </text>
    </comment>
    <comment authorId="0" ref="AA33">
      <text>
        <t xml:space="preserve">Not feeling well.</t>
      </text>
    </comment>
    <comment authorId="0" ref="AC33">
      <text>
        <t xml:space="preserve">2 times call  him call not received</t>
      </text>
    </comment>
    <comment authorId="0" ref="Z34">
      <text>
        <t xml:space="preserve">His call not received</t>
      </text>
    </comment>
    <comment authorId="0" ref="Q35">
      <text>
        <t xml:space="preserve">Switch off,parent call also not connected.</t>
      </text>
    </comment>
    <comment authorId="0" ref="W35">
      <text>
        <t xml:space="preserve"> Call not received.</t>
      </text>
    </comment>
    <comment authorId="0" ref="Z35">
      <text>
        <t xml:space="preserve">Call  not received.</t>
      </text>
    </comment>
    <comment authorId="0" ref="AB35">
      <text>
        <t xml:space="preserve">Call  not received , message him in whatasapp about his  absent.</t>
      </text>
    </comment>
    <comment authorId="0" ref="AD35">
      <text>
        <t xml:space="preserve">Class not received.</t>
      </text>
    </comment>
    <comment authorId="0" ref="E36">
      <text>
        <t xml:space="preserve">Call  not received , Message her in whatsapp about his absent.</t>
      </text>
    </comment>
    <comment authorId="0" ref="T36">
      <text>
        <t xml:space="preserve">Call not received.</t>
      </text>
    </comment>
    <comment authorId="0" ref="V36">
      <text>
        <t xml:space="preserve">Not feeeling well.</t>
      </text>
    </comment>
    <comment authorId="0" ref="AD36">
      <text>
        <t xml:space="preserve">Due to period Cramps.</t>
      </text>
    </comment>
    <comment authorId="0" ref="S37">
      <text>
        <t xml:space="preserve">Call not received.</t>
      </text>
    </comment>
    <comment authorId="0" ref="N38">
      <text>
        <t xml:space="preserve">Due to her ept exam todayshe will  not attend class.</t>
      </text>
    </comment>
    <comment authorId="0" ref="Z38">
      <text>
        <t xml:space="preserve"> She said she was  in bhaktapur  so will  not attend  first class.</t>
      </text>
    </comment>
    <comment authorId="0" ref="Q39">
      <text>
        <t xml:space="preserve"> 2 times call her  call  not received.,parent call also not received</t>
      </text>
    </comment>
    <comment authorId="0" ref="S39">
      <text>
        <t xml:space="preserve">Send Mail-not feeling well due to headache. talk to her parent about her low attandance.</t>
      </text>
    </comment>
    <comment authorId="0" ref="AC39">
      <text>
        <t xml:space="preserve">2 times call  her call not received</t>
      </text>
    </comment>
    <comment authorId="0" ref="M46">
      <text>
        <t xml:space="preserve">talk to her mother -she didnot continuted </t>
      </text>
    </comment>
    <comment authorId="0" ref="M49">
      <text>
        <t xml:space="preserve">Send Mail-Due to going to Pokhara with his family. 2 time  call his parent call  not received</t>
      </text>
    </comment>
    <comment authorId="0" ref="N49">
      <text>
        <t xml:space="preserve">going to Pokhara with his family.talk to his parent he said will come from tomorrow.</t>
      </text>
    </comment>
    <comment authorId="0" ref="N51">
      <text>
        <t xml:space="preserve">Call  not received.</t>
      </text>
    </comment>
  </commentList>
</comments>
</file>

<file path=xl/sharedStrings.xml><?xml version="1.0" encoding="utf-8"?>
<sst xmlns="http://schemas.openxmlformats.org/spreadsheetml/2006/main" count="1216" uniqueCount="125">
  <si>
    <t>`</t>
  </si>
  <si>
    <t>Subject Title : Web</t>
  </si>
  <si>
    <t>Subject Code : WEB002</t>
  </si>
  <si>
    <t>Lecturer: Nitan Thapa</t>
  </si>
  <si>
    <t>S.NO</t>
  </si>
  <si>
    <t>Batch</t>
  </si>
  <si>
    <t>Name</t>
  </si>
  <si>
    <t>Edu Email Id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</si>
  <si>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</si>
  <si>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</si>
  <si>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</si>
  <si>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</si>
  <si>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</si>
  <si>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</si>
  <si>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</si>
  <si>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</si>
  <si>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</si>
  <si>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</si>
  <si>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</si>
  <si>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</si>
  <si>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Total Present</t>
  </si>
  <si>
    <t>Total Absent</t>
  </si>
  <si>
    <t>Total Late</t>
  </si>
  <si>
    <t>Total Present with Late</t>
  </si>
  <si>
    <t>Total Classes</t>
  </si>
  <si>
    <t>Total Present in Percentage (%)</t>
  </si>
  <si>
    <t>L</t>
  </si>
  <si>
    <t>T</t>
  </si>
  <si>
    <t>W</t>
  </si>
  <si>
    <t>Date</t>
  </si>
  <si>
    <t>Autumn 2025</t>
  </si>
  <si>
    <t>Aayush Sharma</t>
  </si>
  <si>
    <t>aayush_sharma_a25@sunway.edu.np</t>
  </si>
  <si>
    <t>Present</t>
  </si>
  <si>
    <t>Binita Rijal</t>
  </si>
  <si>
    <t>binita_rijal_a25@sunway.edu.np</t>
  </si>
  <si>
    <t>Absent</t>
  </si>
  <si>
    <t>Chirag Gautam</t>
  </si>
  <si>
    <t>chirag_gautam_a25@sunway.edu.np</t>
  </si>
  <si>
    <t>Dinesh Kunwar</t>
  </si>
  <si>
    <t>dinesh_kunwar_a25@sunway.edu.np</t>
  </si>
  <si>
    <t>Elina Bista</t>
  </si>
  <si>
    <t>elina_bista_a25@sunway.edu.np</t>
  </si>
  <si>
    <t>Firoj Ansari</t>
  </si>
  <si>
    <t>firoj_ansari_a25@sunway.edu.np</t>
  </si>
  <si>
    <t>Gaurav Kafle</t>
  </si>
  <si>
    <t>gaurav_kafle_a25@sunway.edu.np</t>
  </si>
  <si>
    <t>Hema Lama</t>
  </si>
  <si>
    <t>hema_lama_a25@sunway.edu.np</t>
  </si>
  <si>
    <t>Ishan Koirala</t>
  </si>
  <si>
    <t>ishan_koirala_a25@sunway.edu.np</t>
  </si>
  <si>
    <t>Juna Khadgi</t>
  </si>
  <si>
    <t>juna_khadgi_a25@sunway.edu.np</t>
  </si>
  <si>
    <t>Kamal Rokaya</t>
  </si>
  <si>
    <t>kamal_rokaya_a25@sunway.edu.np</t>
  </si>
  <si>
    <t>Lalita Budhathoki</t>
  </si>
  <si>
    <t>lalita_budhathoki_a25@sunway.edu.np</t>
  </si>
  <si>
    <t>Manoj Dong</t>
  </si>
  <si>
    <t>manoj_dong_a25@sunway.edu.np</t>
  </si>
  <si>
    <t>Nirmala Karki</t>
  </si>
  <si>
    <t>nirmala_karki_a25@sunway.edu.np</t>
  </si>
  <si>
    <t>Omkar Pokharel</t>
  </si>
  <si>
    <t>omkar_pokharel_a25@sunway.edu.np</t>
  </si>
  <si>
    <t>Pabitra Dhakal</t>
  </si>
  <si>
    <t>pabitra_dhakal_a25@sunway.edu.np</t>
  </si>
  <si>
    <t>Qasim Miya</t>
  </si>
  <si>
    <t>qasim_miya_a25@sunway.edu.np</t>
  </si>
  <si>
    <t>Ramesh Suwal</t>
  </si>
  <si>
    <t>ramesh_suwal_a25@sunway.edu.np</t>
  </si>
  <si>
    <t>Sanjay Khadka</t>
  </si>
  <si>
    <t>sanjay_khadka_a25@sunway.edu.np</t>
  </si>
  <si>
    <t>Tara Ghale</t>
  </si>
  <si>
    <t>tara_ghale_a25@sunway.edu.np</t>
  </si>
  <si>
    <t>Ujjwal Basnet</t>
  </si>
  <si>
    <t>ujjwal_basnet_a25@sunway.edu.np</t>
  </si>
  <si>
    <t>Bipin Sigdel</t>
  </si>
  <si>
    <t>bipin_sigdel_a25@sunway.edu.np</t>
  </si>
  <si>
    <t>Chetana Thagunna</t>
  </si>
  <si>
    <t>chetana_thagunna_a25@sunway.edu.np</t>
  </si>
  <si>
    <t>Dev Rai</t>
  </si>
  <si>
    <t>dev_rai_a25@sunway.edu.np</t>
  </si>
  <si>
    <t>Esha Karki</t>
  </si>
  <si>
    <t>esha_karki_a25@sunway.edu.np</t>
  </si>
  <si>
    <t>Ganesh Baral</t>
  </si>
  <si>
    <t>ganesh_baral_a25@sunway.edu.np</t>
  </si>
  <si>
    <t>Hari Bogati</t>
  </si>
  <si>
    <t>hari_bogati_a25@sunway.edu.np</t>
  </si>
  <si>
    <t>Indira Sapkota</t>
  </si>
  <si>
    <t>indira_sapkota_a25@sunway.edu.np</t>
  </si>
  <si>
    <t>Jeevan Giri</t>
  </si>
  <si>
    <t>jeevan_giri_a25@sunway.edu.np</t>
  </si>
  <si>
    <t>Kabita Chhetri</t>
  </si>
  <si>
    <t>kabita_chhetri_a25@sunway.edu.np</t>
  </si>
  <si>
    <t>Lokesh Karki</t>
  </si>
  <si>
    <t>lokesh_karki_a25@sunway.edu.np</t>
  </si>
  <si>
    <t>Mamata Shahi</t>
  </si>
  <si>
    <t>mamata_shahi_a25@sunway.edu.np</t>
  </si>
  <si>
    <t>Nawaraj Bista</t>
  </si>
  <si>
    <t>nawaraj_bista_a25@sunway.edu.np</t>
  </si>
  <si>
    <t>CMP5367 - Artificial Intelligence and Machine Learning</t>
  </si>
  <si>
    <t>DIG5127-Database &amp; Web Application Development</t>
  </si>
  <si>
    <t>CMP5332-Object Oriented Programming</t>
  </si>
  <si>
    <t xml:space="preserve">Allover Percentange </t>
  </si>
  <si>
    <t>Parents/Guardains Email Id</t>
  </si>
  <si>
    <t xml:space="preserve"> Percentange overall </t>
  </si>
  <si>
    <t>S.N</t>
  </si>
  <si>
    <t>Student Name</t>
  </si>
  <si>
    <t>Semester</t>
  </si>
  <si>
    <t>Intake</t>
  </si>
  <si>
    <t>Course</t>
  </si>
  <si>
    <t xml:space="preserve">Year </t>
  </si>
  <si>
    <t>Group</t>
  </si>
  <si>
    <t>Present percentage</t>
  </si>
  <si>
    <t>3rd</t>
  </si>
  <si>
    <t>S25</t>
  </si>
  <si>
    <t>Bsc (Hons) Computer Science with Artifical Intelligence</t>
  </si>
  <si>
    <t>C1</t>
  </si>
  <si>
    <t>S26</t>
  </si>
  <si>
    <t>S27</t>
  </si>
  <si>
    <t>S28</t>
  </si>
  <si>
    <t>S29</t>
  </si>
  <si>
    <t>S30</t>
  </si>
  <si>
    <t>S31</t>
  </si>
  <si>
    <t>S32</t>
  </si>
  <si>
    <t>S33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</si>
</sst>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10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/>
    <font>
      <b/>
      <u/>
      <sz val="11.0"/>
      <color rgb="FF1155CC"/>
      <name val="Arial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Times New Roman"/>
    </font>
    <font>
      <b/>
      <color rgb="FFFFFFFF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0504D"/>
        <bgColor rgb="FFC0504D"/>
      </patternFill>
    </fill>
    <fill>
      <patternFill patternType="solid">
        <fgColor rgb="FFA5A5A5"/>
        <bgColor rgb="FFA5A5A5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999999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999999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999999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1" fillId="3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2" fillId="3" fontId="1" numFmtId="0" xfId="0" applyAlignment="1" applyBorder="1" applyFont="1">
      <alignment vertical="bottom"/>
    </xf>
    <xf borderId="3" fillId="3" fontId="1" numFmtId="0" xfId="0" applyAlignment="1" applyBorder="1" applyFont="1">
      <alignment vertical="bottom"/>
    </xf>
    <xf borderId="4" fillId="2" fontId="1" numFmtId="1" xfId="0" applyAlignment="1" applyBorder="1" applyFont="1" applyNumberFormat="1">
      <alignment vertical="bottom"/>
    </xf>
    <xf borderId="0" fillId="3" fontId="1" numFmtId="0" xfId="0" applyAlignment="1" applyFont="1">
      <alignment vertical="bottom"/>
    </xf>
    <xf borderId="5" fillId="3" fontId="2" numFmtId="0" xfId="0" applyAlignment="1" applyBorder="1" applyFont="1">
      <alignment horizontal="center" readingOrder="0" vertical="bottom"/>
    </xf>
    <xf borderId="6" fillId="3" fontId="1" numFmtId="0" xfId="0" applyAlignment="1" applyBorder="1" applyFont="1">
      <alignment vertical="bottom"/>
    </xf>
    <xf borderId="7" fillId="2" fontId="1" numFmtId="1" xfId="0" applyAlignment="1" applyBorder="1" applyFont="1" applyNumberFormat="1">
      <alignment vertical="bottom"/>
    </xf>
    <xf borderId="8" fillId="3" fontId="2" numFmtId="0" xfId="0" applyAlignment="1" applyBorder="1" applyFont="1">
      <alignment horizontal="center" readingOrder="0" vertical="bottom"/>
    </xf>
    <xf borderId="9" fillId="0" fontId="3" numFmtId="0" xfId="0" applyBorder="1" applyFont="1"/>
    <xf borderId="9" fillId="3" fontId="1" numFmtId="0" xfId="0" applyAlignment="1" applyBorder="1" applyFont="1">
      <alignment vertical="bottom"/>
    </xf>
    <xf borderId="10" fillId="3" fontId="1" numFmtId="0" xfId="0" applyAlignment="1" applyBorder="1" applyFont="1">
      <alignment vertical="bottom"/>
    </xf>
    <xf borderId="11" fillId="2" fontId="1" numFmtId="1" xfId="0" applyAlignment="1" applyBorder="1" applyFont="1" applyNumberFormat="1">
      <alignment vertical="bottom"/>
    </xf>
    <xf borderId="12" fillId="2" fontId="4" numFmtId="0" xfId="0" applyAlignment="1" applyBorder="1" applyFont="1">
      <alignment horizontal="center" shrinkToFit="0" vertical="bottom" wrapText="1"/>
    </xf>
    <xf borderId="7" fillId="2" fontId="5" numFmtId="0" xfId="0" applyAlignment="1" applyBorder="1" applyFont="1">
      <alignment horizontal="center" shrinkToFit="0" vertical="bottom" wrapText="1"/>
    </xf>
    <xf borderId="9" fillId="2" fontId="6" numFmtId="0" xfId="0" applyAlignment="1" applyBorder="1" applyFont="1">
      <alignment horizontal="center" vertical="bottom"/>
    </xf>
    <xf borderId="11" fillId="0" fontId="3" numFmtId="0" xfId="0" applyBorder="1" applyFont="1"/>
    <xf borderId="11" fillId="2" fontId="6" numFmtId="0" xfId="0" applyAlignment="1" applyBorder="1" applyFont="1">
      <alignment horizontal="center" vertical="bottom"/>
    </xf>
    <xf borderId="4" fillId="2" fontId="5" numFmtId="0" xfId="0" applyAlignment="1" applyBorder="1" applyFont="1">
      <alignment horizontal="center" shrinkToFit="0" vertical="bottom" wrapText="1"/>
    </xf>
    <xf borderId="4" fillId="2" fontId="5" numFmtId="1" xfId="0" applyAlignment="1" applyBorder="1" applyFont="1" applyNumberFormat="1">
      <alignment horizontal="center" shrinkToFit="0" vertical="bottom" wrapText="1"/>
    </xf>
    <xf borderId="0" fillId="2" fontId="1" numFmtId="1" xfId="0" applyAlignment="1" applyFont="1" applyNumberFormat="1">
      <alignment vertical="bottom"/>
    </xf>
    <xf borderId="13" fillId="0" fontId="3" numFmtId="0" xfId="0" applyBorder="1" applyFont="1"/>
    <xf borderId="7" fillId="0" fontId="3" numFmtId="0" xfId="0" applyBorder="1" applyFont="1"/>
    <xf borderId="8" fillId="2" fontId="5" numFmtId="0" xfId="0" applyAlignment="1" applyBorder="1" applyFont="1">
      <alignment horizontal="right" vertical="bottom"/>
    </xf>
    <xf borderId="11" fillId="2" fontId="1" numFmtId="164" xfId="0" applyAlignment="1" applyBorder="1" applyFont="1" applyNumberFormat="1">
      <alignment horizontal="right" vertical="bottom"/>
    </xf>
    <xf borderId="11" fillId="2" fontId="1" numFmtId="164" xfId="0" applyAlignment="1" applyBorder="1" applyFont="1" applyNumberFormat="1">
      <alignment horizontal="right" readingOrder="0" vertical="bottom"/>
    </xf>
    <xf borderId="11" fillId="2" fontId="1" numFmtId="164" xfId="0" applyAlignment="1" applyBorder="1" applyFont="1" applyNumberFormat="1">
      <alignment vertical="bottom"/>
    </xf>
    <xf borderId="13" fillId="2" fontId="2" numFmtId="0" xfId="0" applyAlignment="1" applyBorder="1" applyFont="1">
      <alignment horizontal="center" shrinkToFit="0" vertical="bottom" wrapText="1"/>
    </xf>
    <xf borderId="14" fillId="0" fontId="1" numFmtId="0" xfId="0" applyAlignment="1" applyBorder="1" applyFont="1">
      <alignment horizontal="center" shrinkToFit="0" vertical="bottom" wrapText="1"/>
    </xf>
    <xf borderId="14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11" fillId="0" fontId="1" numFmtId="0" xfId="0" applyAlignment="1" applyBorder="1" applyFont="1">
      <alignment vertical="bottom"/>
    </xf>
    <xf borderId="11" fillId="0" fontId="1" numFmtId="0" xfId="0" applyAlignment="1" applyBorder="1" applyFont="1">
      <alignment readingOrder="0" vertical="bottom"/>
    </xf>
    <xf borderId="11" fillId="2" fontId="2" numFmtId="0" xfId="0" applyAlignment="1" applyBorder="1" applyFont="1">
      <alignment horizontal="center" vertical="bottom"/>
    </xf>
    <xf borderId="14" fillId="2" fontId="2" numFmtId="0" xfId="0" applyAlignment="1" applyBorder="1" applyFont="1">
      <alignment horizontal="center" vertical="bottom"/>
    </xf>
    <xf borderId="14" fillId="2" fontId="2" numFmtId="1" xfId="0" applyAlignment="1" applyBorder="1" applyFont="1" applyNumberFormat="1">
      <alignment horizontal="center" vertical="bottom"/>
    </xf>
    <xf borderId="14" fillId="2" fontId="1" numFmtId="0" xfId="0" applyAlignment="1" applyBorder="1" applyFont="1">
      <alignment horizontal="center" readingOrder="0" vertical="bottom"/>
    </xf>
    <xf borderId="14" fillId="2" fontId="1" numFmtId="0" xfId="0" applyAlignment="1" applyBorder="1" applyFont="1">
      <alignment horizontal="center" shrinkToFit="0" vertical="bottom" wrapText="1"/>
    </xf>
    <xf borderId="0" fillId="2" fontId="1" numFmtId="0" xfId="0" applyAlignment="1" applyFont="1">
      <alignment horizontal="center" readingOrder="0" vertical="bottom"/>
    </xf>
    <xf borderId="14" fillId="2" fontId="7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readingOrder="0" vertical="bottom"/>
    </xf>
    <xf borderId="14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11" fillId="2" fontId="1" numFmtId="164" xfId="0" applyAlignment="1" applyBorder="1" applyFont="1" applyNumberFormat="1">
      <alignment readingOrder="0" vertical="bottom"/>
    </xf>
    <xf borderId="0" fillId="2" fontId="1" numFmtId="164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6" fontId="8" numFmtId="0" xfId="0" applyAlignment="1" applyFont="1">
      <alignment horizontal="center" shrinkToFit="0" vertical="bottom" wrapText="1"/>
    </xf>
    <xf borderId="0" fillId="6" fontId="8" numFmtId="1" xfId="0" applyAlignment="1" applyFont="1" applyNumberFormat="1">
      <alignment horizontal="center" shrinkToFit="0" vertical="top" wrapText="1"/>
    </xf>
    <xf borderId="0" fillId="7" fontId="8" numFmtId="0" xfId="0" applyAlignment="1" applyFill="1" applyFont="1">
      <alignment horizontal="center" vertical="bottom"/>
    </xf>
    <xf borderId="0" fillId="7" fontId="8" numFmtId="0" xfId="0" applyAlignment="1" applyFont="1">
      <alignment horizontal="center" shrinkToFit="0" vertical="bottom" wrapText="1"/>
    </xf>
    <xf borderId="0" fillId="7" fontId="1" numFmtId="1" xfId="0" applyAlignment="1" applyFont="1" applyNumberFormat="1">
      <alignment vertical="bottom"/>
    </xf>
    <xf borderId="0" fillId="7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1" numFmtId="1" xfId="0" applyAlignment="1" applyFont="1" applyNumberFormat="1">
      <alignment horizontal="center" vertical="bottom"/>
    </xf>
    <xf borderId="0" fillId="0" fontId="9" numFmtId="1" xfId="0" applyAlignment="1" applyFont="1" applyNumberFormat="1">
      <alignment horizontal="center"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30.88"/>
    <col customWidth="1" min="44" max="44" width="12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"/>
      <c r="AS1" s="2"/>
      <c r="AT1" s="2"/>
    </row>
    <row r="2">
      <c r="A2" s="3" t="s">
        <v>1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6"/>
      <c r="AP2" s="5"/>
      <c r="AQ2" s="5"/>
      <c r="AR2" s="7"/>
      <c r="AS2" s="8"/>
      <c r="AT2" s="8"/>
    </row>
    <row r="3">
      <c r="A3" s="9" t="s">
        <v>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10"/>
      <c r="AP3" s="8"/>
      <c r="AQ3" s="8"/>
      <c r="AR3" s="11"/>
      <c r="AS3" s="8"/>
      <c r="AT3" s="8"/>
    </row>
    <row r="4">
      <c r="A4" s="12" t="s">
        <v>3</v>
      </c>
      <c r="B4" s="13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5"/>
      <c r="AP4" s="14"/>
      <c r="AQ4" s="14"/>
      <c r="AR4" s="16"/>
      <c r="AS4" s="8"/>
      <c r="AT4" s="8"/>
    </row>
    <row r="5">
      <c r="A5" s="17" t="s">
        <v>4</v>
      </c>
      <c r="B5" s="18" t="s">
        <v>5</v>
      </c>
      <c r="C5" s="18" t="s">
        <v>6</v>
      </c>
      <c r="D5" s="18" t="s">
        <v>7</v>
      </c>
      <c r="E5" s="19" t="s">
        <v>8</v>
      </c>
      <c r="F5" s="13"/>
      <c r="G5" s="20"/>
      <c r="H5" s="19" t="s">
        <v>9</v>
      </c>
      <c r="I5" s="13"/>
      <c r="J5" s="20"/>
      <c r="K5" s="19" t="s">
        <v>10</v>
      </c>
      <c r="L5" s="13"/>
      <c r="M5" s="20"/>
      <c r="N5" s="19" t="s">
        <v>11</v>
      </c>
      <c r="O5" s="13"/>
      <c r="P5" s="20"/>
      <c r="Q5" s="19" t="s">
        <v>12</v>
      </c>
      <c r="R5" s="13"/>
      <c r="S5" s="20"/>
      <c r="T5" s="19" t="s">
        <v>13</v>
      </c>
      <c r="U5" s="13"/>
      <c r="V5" s="20"/>
      <c r="W5" s="19" t="s">
        <v>14</v>
      </c>
      <c r="X5" s="13"/>
      <c r="Y5" s="20"/>
      <c r="Z5" s="19" t="s">
        <v>15</v>
      </c>
      <c r="AA5" s="13"/>
      <c r="AB5" s="20"/>
      <c r="AC5" s="19" t="s">
        <v>16</v>
      </c>
      <c r="AD5" s="13"/>
      <c r="AE5" s="20"/>
      <c r="AF5" s="19" t="s">
        <v>17</v>
      </c>
      <c r="AG5" s="13"/>
      <c r="AH5" s="20"/>
      <c r="AI5" s="19" t="s">
        <v>18</v>
      </c>
      <c r="AJ5" s="13"/>
      <c r="AK5" s="20"/>
      <c r="AL5" s="21" t="s">
        <v>19</v>
      </c>
      <c r="AM5" s="18" t="s">
        <v>20</v>
      </c>
      <c r="AN5" s="18" t="s">
        <v>21</v>
      </c>
      <c r="AO5" s="22" t="s">
        <v>22</v>
      </c>
      <c r="AP5" s="22" t="s">
        <v>23</v>
      </c>
      <c r="AQ5" s="22" t="s">
        <v>24</v>
      </c>
      <c r="AR5" s="23" t="s">
        <v>25</v>
      </c>
      <c r="AS5" s="24"/>
      <c r="AT5" s="24"/>
    </row>
    <row r="6">
      <c r="A6" s="25"/>
      <c r="B6" s="20"/>
      <c r="C6" s="20"/>
      <c r="D6" s="20"/>
      <c r="E6" s="21" t="s">
        <v>26</v>
      </c>
      <c r="F6" s="21" t="s">
        <v>27</v>
      </c>
      <c r="G6" s="21" t="s">
        <v>28</v>
      </c>
      <c r="H6" s="21" t="s">
        <v>26</v>
      </c>
      <c r="I6" s="21" t="s">
        <v>27</v>
      </c>
      <c r="J6" s="21" t="s">
        <v>28</v>
      </c>
      <c r="K6" s="21" t="s">
        <v>26</v>
      </c>
      <c r="L6" s="21" t="s">
        <v>27</v>
      </c>
      <c r="M6" s="21" t="s">
        <v>28</v>
      </c>
      <c r="N6" s="21" t="s">
        <v>26</v>
      </c>
      <c r="O6" s="21" t="s">
        <v>27</v>
      </c>
      <c r="P6" s="21" t="s">
        <v>28</v>
      </c>
      <c r="Q6" s="21" t="s">
        <v>26</v>
      </c>
      <c r="R6" s="21" t="s">
        <v>27</v>
      </c>
      <c r="S6" s="21" t="s">
        <v>28</v>
      </c>
      <c r="T6" s="21" t="s">
        <v>26</v>
      </c>
      <c r="U6" s="21" t="s">
        <v>27</v>
      </c>
      <c r="V6" s="21" t="s">
        <v>28</v>
      </c>
      <c r="W6" s="21" t="s">
        <v>26</v>
      </c>
      <c r="X6" s="21" t="s">
        <v>27</v>
      </c>
      <c r="Y6" s="21" t="s">
        <v>28</v>
      </c>
      <c r="Z6" s="21" t="s">
        <v>26</v>
      </c>
      <c r="AA6" s="21" t="s">
        <v>27</v>
      </c>
      <c r="AB6" s="21" t="s">
        <v>28</v>
      </c>
      <c r="AC6" s="21" t="s">
        <v>26</v>
      </c>
      <c r="AD6" s="21" t="s">
        <v>27</v>
      </c>
      <c r="AE6" s="21" t="s">
        <v>28</v>
      </c>
      <c r="AF6" s="21" t="s">
        <v>26</v>
      </c>
      <c r="AG6" s="21" t="s">
        <v>27</v>
      </c>
      <c r="AH6" s="21" t="s">
        <v>28</v>
      </c>
      <c r="AI6" s="21" t="s">
        <v>26</v>
      </c>
      <c r="AJ6" s="21" t="s">
        <v>27</v>
      </c>
      <c r="AK6" s="21" t="s">
        <v>28</v>
      </c>
      <c r="AL6" s="21" t="s">
        <v>26</v>
      </c>
      <c r="AM6" s="26"/>
      <c r="AN6" s="26"/>
      <c r="AO6" s="26"/>
      <c r="AP6" s="26"/>
      <c r="AQ6" s="26"/>
      <c r="AR6" s="26"/>
      <c r="AS6" s="24"/>
      <c r="AT6" s="24"/>
    </row>
    <row r="7">
      <c r="A7" s="27" t="s">
        <v>29</v>
      </c>
      <c r="B7" s="13"/>
      <c r="C7" s="13"/>
      <c r="D7" s="20"/>
      <c r="E7" s="28">
        <v>45963.0</v>
      </c>
      <c r="F7" s="28">
        <v>45965.0</v>
      </c>
      <c r="G7" s="28">
        <v>45967.0</v>
      </c>
      <c r="H7" s="28">
        <v>45970.0</v>
      </c>
      <c r="I7" s="28">
        <v>45972.0</v>
      </c>
      <c r="J7" s="28">
        <v>45974.0</v>
      </c>
      <c r="K7" s="28">
        <v>45977.0</v>
      </c>
      <c r="L7" s="28">
        <v>45979.0</v>
      </c>
      <c r="M7" s="28">
        <v>45981.0</v>
      </c>
      <c r="N7" s="28">
        <v>45984.0</v>
      </c>
      <c r="O7" s="28">
        <v>45986.0</v>
      </c>
      <c r="P7" s="28">
        <v>45991.0</v>
      </c>
      <c r="Q7" s="28">
        <v>45993.0</v>
      </c>
      <c r="R7" s="28">
        <v>45998.0</v>
      </c>
      <c r="S7" s="28">
        <v>46000.0</v>
      </c>
      <c r="T7" s="28">
        <v>46002.0</v>
      </c>
      <c r="U7" s="28">
        <v>46005.0</v>
      </c>
      <c r="V7" s="28">
        <v>46007.0</v>
      </c>
      <c r="W7" s="28">
        <v>46009.0</v>
      </c>
      <c r="X7" s="28">
        <v>46012.0</v>
      </c>
      <c r="Y7" s="28">
        <v>46014.0</v>
      </c>
      <c r="Z7" s="28">
        <v>46019.0</v>
      </c>
      <c r="AA7" s="28">
        <v>46021.0</v>
      </c>
      <c r="AB7" s="28">
        <v>46026.0</v>
      </c>
      <c r="AC7" s="28">
        <v>46028.0</v>
      </c>
      <c r="AD7" s="28">
        <v>46030.0</v>
      </c>
      <c r="AE7" s="28">
        <v>46035.0</v>
      </c>
      <c r="AF7" s="28">
        <v>46042.0</v>
      </c>
      <c r="AG7" s="29">
        <v>46043.0</v>
      </c>
      <c r="AH7" s="30"/>
      <c r="AI7" s="30"/>
      <c r="AJ7" s="30"/>
      <c r="AK7" s="30"/>
      <c r="AL7" s="30"/>
      <c r="AM7" s="20"/>
      <c r="AN7" s="20"/>
      <c r="AO7" s="20"/>
      <c r="AP7" s="20"/>
      <c r="AQ7" s="20"/>
      <c r="AR7" s="20"/>
      <c r="AS7" s="24"/>
      <c r="AT7" s="24"/>
    </row>
    <row r="8">
      <c r="A8" s="31">
        <v>1.0</v>
      </c>
      <c r="B8" s="32" t="s">
        <v>30</v>
      </c>
      <c r="C8" s="33" t="s">
        <v>31</v>
      </c>
      <c r="D8" s="34" t="s">
        <v>32</v>
      </c>
      <c r="E8" s="35" t="s">
        <v>33</v>
      </c>
      <c r="F8" s="35" t="s">
        <v>33</v>
      </c>
      <c r="G8" s="35" t="s">
        <v>33</v>
      </c>
      <c r="H8" s="35" t="s">
        <v>33</v>
      </c>
      <c r="I8" s="35" t="s">
        <v>33</v>
      </c>
      <c r="J8" s="35" t="s">
        <v>33</v>
      </c>
      <c r="K8" s="35" t="s">
        <v>33</v>
      </c>
      <c r="L8" s="35" t="s">
        <v>33</v>
      </c>
      <c r="M8" s="35" t="s">
        <v>33</v>
      </c>
      <c r="N8" s="35" t="s">
        <v>33</v>
      </c>
      <c r="O8" s="35" t="s">
        <v>33</v>
      </c>
      <c r="P8" s="35" t="s">
        <v>33</v>
      </c>
      <c r="Q8" s="35" t="s">
        <v>33</v>
      </c>
      <c r="R8" s="35" t="s">
        <v>33</v>
      </c>
      <c r="S8" s="35" t="s">
        <v>33</v>
      </c>
      <c r="T8" s="35" t="s">
        <v>33</v>
      </c>
      <c r="U8" s="35" t="s">
        <v>33</v>
      </c>
      <c r="V8" s="35" t="s">
        <v>33</v>
      </c>
      <c r="W8" s="35" t="s">
        <v>33</v>
      </c>
      <c r="X8" s="35" t="s">
        <v>33</v>
      </c>
      <c r="Y8" s="35" t="s">
        <v>33</v>
      </c>
      <c r="Z8" s="35" t="s">
        <v>33</v>
      </c>
      <c r="AA8" s="35" t="s">
        <v>33</v>
      </c>
      <c r="AB8" s="35" t="s">
        <v>33</v>
      </c>
      <c r="AC8" s="35" t="s">
        <v>33</v>
      </c>
      <c r="AD8" s="35" t="s">
        <v>33</v>
      </c>
      <c r="AE8" s="35" t="s">
        <v>33</v>
      </c>
      <c r="AF8" s="36" t="s">
        <v>33</v>
      </c>
      <c r="AG8" s="36"/>
      <c r="AH8" s="36"/>
      <c r="AI8" s="35"/>
      <c r="AJ8" s="35"/>
      <c r="AK8" s="36"/>
      <c r="AL8" s="35"/>
      <c r="AM8" s="37">
        <f t="shared" ref="AM8:AM40" si="1">COUNTIF(E8:AL8,"Present")</f>
        <v>28</v>
      </c>
      <c r="AN8" s="37">
        <f t="shared" ref="AN8:AN40" si="2">COUNTIF(E8:AL8,"Absent")</f>
        <v>0</v>
      </c>
      <c r="AO8" s="37">
        <f t="shared" ref="AO8:AO40" si="3">COUNTIF(E8:AL8,"Late")</f>
        <v>0</v>
      </c>
      <c r="AP8" s="37">
        <f t="shared" ref="AP8:AP40" si="4">SUM(AM8+AO8)</f>
        <v>28</v>
      </c>
      <c r="AQ8" s="38">
        <f t="shared" ref="AQ8:AQ40" si="5">SUM(AP8+AN8)</f>
        <v>28</v>
      </c>
      <c r="AR8" s="39">
        <f t="shared" ref="AR8:AR40" si="6">AP8/AQ8*100</f>
        <v>100</v>
      </c>
      <c r="AS8" s="1"/>
      <c r="AT8" s="1"/>
    </row>
    <row r="9">
      <c r="A9" s="31">
        <v>2.0</v>
      </c>
      <c r="B9" s="32" t="s">
        <v>30</v>
      </c>
      <c r="C9" s="33" t="s">
        <v>34</v>
      </c>
      <c r="D9" s="33" t="s">
        <v>35</v>
      </c>
      <c r="E9" s="35" t="s">
        <v>33</v>
      </c>
      <c r="F9" s="35" t="s">
        <v>33</v>
      </c>
      <c r="G9" s="35" t="s">
        <v>33</v>
      </c>
      <c r="H9" s="35" t="s">
        <v>33</v>
      </c>
      <c r="I9" s="35" t="s">
        <v>33</v>
      </c>
      <c r="J9" s="35" t="s">
        <v>33</v>
      </c>
      <c r="K9" s="35" t="s">
        <v>36</v>
      </c>
      <c r="L9" s="35" t="s">
        <v>33</v>
      </c>
      <c r="M9" s="35" t="s">
        <v>33</v>
      </c>
      <c r="N9" s="35" t="s">
        <v>33</v>
      </c>
      <c r="O9" s="35" t="s">
        <v>33</v>
      </c>
      <c r="P9" s="35" t="s">
        <v>33</v>
      </c>
      <c r="Q9" s="35" t="s">
        <v>33</v>
      </c>
      <c r="R9" s="35" t="s">
        <v>33</v>
      </c>
      <c r="S9" s="35" t="s">
        <v>33</v>
      </c>
      <c r="T9" s="35" t="s">
        <v>33</v>
      </c>
      <c r="U9" s="35" t="s">
        <v>33</v>
      </c>
      <c r="V9" s="35" t="s">
        <v>36</v>
      </c>
      <c r="W9" s="35" t="s">
        <v>33</v>
      </c>
      <c r="X9" s="35" t="s">
        <v>33</v>
      </c>
      <c r="Y9" s="35" t="s">
        <v>33</v>
      </c>
      <c r="Z9" s="35" t="s">
        <v>33</v>
      </c>
      <c r="AA9" s="35" t="s">
        <v>33</v>
      </c>
      <c r="AB9" s="35" t="s">
        <v>33</v>
      </c>
      <c r="AC9" s="35" t="s">
        <v>33</v>
      </c>
      <c r="AD9" s="35" t="s">
        <v>33</v>
      </c>
      <c r="AE9" s="35" t="s">
        <v>33</v>
      </c>
      <c r="AF9" s="35" t="s">
        <v>33</v>
      </c>
      <c r="AG9" s="36"/>
      <c r="AH9" s="35"/>
      <c r="AI9" s="35"/>
      <c r="AJ9" s="35"/>
      <c r="AK9" s="35"/>
      <c r="AL9" s="35"/>
      <c r="AM9" s="37">
        <f t="shared" si="1"/>
        <v>26</v>
      </c>
      <c r="AN9" s="37">
        <f t="shared" si="2"/>
        <v>2</v>
      </c>
      <c r="AO9" s="37">
        <f t="shared" si="3"/>
        <v>0</v>
      </c>
      <c r="AP9" s="37">
        <f t="shared" si="4"/>
        <v>26</v>
      </c>
      <c r="AQ9" s="38">
        <f t="shared" si="5"/>
        <v>28</v>
      </c>
      <c r="AR9" s="39">
        <f t="shared" si="6"/>
        <v>92.85714286</v>
      </c>
      <c r="AS9" s="1"/>
      <c r="AT9" s="1"/>
    </row>
    <row r="10">
      <c r="A10" s="31">
        <v>3.0</v>
      </c>
      <c r="B10" s="32" t="s">
        <v>30</v>
      </c>
      <c r="C10" s="40" t="s">
        <v>37</v>
      </c>
      <c r="D10" s="33" t="s">
        <v>38</v>
      </c>
      <c r="E10" s="35" t="s">
        <v>33</v>
      </c>
      <c r="F10" s="35" t="s">
        <v>36</v>
      </c>
      <c r="G10" s="35" t="s">
        <v>33</v>
      </c>
      <c r="H10" s="35" t="s">
        <v>33</v>
      </c>
      <c r="I10" s="35" t="s">
        <v>33</v>
      </c>
      <c r="J10" s="35" t="s">
        <v>36</v>
      </c>
      <c r="K10" s="35" t="s">
        <v>33</v>
      </c>
      <c r="L10" s="35" t="s">
        <v>33</v>
      </c>
      <c r="M10" s="35" t="s">
        <v>36</v>
      </c>
      <c r="N10" s="35" t="s">
        <v>36</v>
      </c>
      <c r="O10" s="35" t="s">
        <v>33</v>
      </c>
      <c r="P10" s="35" t="s">
        <v>33</v>
      </c>
      <c r="Q10" s="35" t="s">
        <v>36</v>
      </c>
      <c r="R10" s="35" t="s">
        <v>33</v>
      </c>
      <c r="S10" s="35" t="s">
        <v>33</v>
      </c>
      <c r="T10" s="35" t="s">
        <v>33</v>
      </c>
      <c r="U10" s="35" t="s">
        <v>33</v>
      </c>
      <c r="V10" s="35" t="s">
        <v>33</v>
      </c>
      <c r="W10" s="35" t="s">
        <v>33</v>
      </c>
      <c r="X10" s="35" t="s">
        <v>33</v>
      </c>
      <c r="Y10" s="35" t="s">
        <v>33</v>
      </c>
      <c r="Z10" s="35" t="s">
        <v>33</v>
      </c>
      <c r="AA10" s="35" t="s">
        <v>33</v>
      </c>
      <c r="AB10" s="35" t="s">
        <v>33</v>
      </c>
      <c r="AC10" s="35" t="s">
        <v>33</v>
      </c>
      <c r="AD10" s="35" t="s">
        <v>33</v>
      </c>
      <c r="AE10" s="35" t="s">
        <v>33</v>
      </c>
      <c r="AF10" s="35" t="s">
        <v>33</v>
      </c>
      <c r="AG10" s="35"/>
      <c r="AH10" s="35"/>
      <c r="AI10" s="35"/>
      <c r="AJ10" s="35"/>
      <c r="AK10" s="35"/>
      <c r="AL10" s="35"/>
      <c r="AM10" s="37">
        <f t="shared" si="1"/>
        <v>23</v>
      </c>
      <c r="AN10" s="37">
        <f t="shared" si="2"/>
        <v>5</v>
      </c>
      <c r="AO10" s="37">
        <f t="shared" si="3"/>
        <v>0</v>
      </c>
      <c r="AP10" s="37">
        <f t="shared" si="4"/>
        <v>23</v>
      </c>
      <c r="AQ10" s="38">
        <f t="shared" si="5"/>
        <v>28</v>
      </c>
      <c r="AR10" s="39">
        <f t="shared" si="6"/>
        <v>82.14285714</v>
      </c>
      <c r="AS10" s="1"/>
      <c r="AT10" s="1"/>
    </row>
    <row r="11">
      <c r="A11" s="31">
        <v>4.0</v>
      </c>
      <c r="B11" s="32" t="s">
        <v>30</v>
      </c>
      <c r="C11" s="33" t="s">
        <v>39</v>
      </c>
      <c r="D11" s="33" t="s">
        <v>40</v>
      </c>
      <c r="E11" s="35" t="s">
        <v>36</v>
      </c>
      <c r="F11" s="35" t="s">
        <v>33</v>
      </c>
      <c r="G11" s="35" t="s">
        <v>33</v>
      </c>
      <c r="H11" s="35" t="s">
        <v>33</v>
      </c>
      <c r="I11" s="35" t="s">
        <v>33</v>
      </c>
      <c r="J11" s="35" t="s">
        <v>33</v>
      </c>
      <c r="K11" s="35" t="s">
        <v>33</v>
      </c>
      <c r="L11" s="35" t="s">
        <v>33</v>
      </c>
      <c r="M11" s="35" t="s">
        <v>33</v>
      </c>
      <c r="N11" s="35" t="s">
        <v>33</v>
      </c>
      <c r="O11" s="35" t="s">
        <v>36</v>
      </c>
      <c r="P11" s="35" t="s">
        <v>33</v>
      </c>
      <c r="Q11" s="35" t="s">
        <v>33</v>
      </c>
      <c r="R11" s="35" t="s">
        <v>33</v>
      </c>
      <c r="S11" s="35" t="s">
        <v>33</v>
      </c>
      <c r="T11" s="35" t="s">
        <v>33</v>
      </c>
      <c r="U11" s="35" t="s">
        <v>36</v>
      </c>
      <c r="V11" s="35" t="s">
        <v>33</v>
      </c>
      <c r="W11" s="35" t="s">
        <v>33</v>
      </c>
      <c r="X11" s="35" t="s">
        <v>36</v>
      </c>
      <c r="Y11" s="35" t="s">
        <v>33</v>
      </c>
      <c r="Z11" s="35" t="s">
        <v>33</v>
      </c>
      <c r="AA11" s="35" t="s">
        <v>33</v>
      </c>
      <c r="AB11" s="35" t="s">
        <v>33</v>
      </c>
      <c r="AC11" s="35" t="s">
        <v>33</v>
      </c>
      <c r="AD11" s="35" t="s">
        <v>33</v>
      </c>
      <c r="AE11" s="35" t="s">
        <v>33</v>
      </c>
      <c r="AF11" s="35" t="s">
        <v>33</v>
      </c>
      <c r="AG11" s="35"/>
      <c r="AH11" s="35"/>
      <c r="AI11" s="35"/>
      <c r="AJ11" s="35"/>
      <c r="AK11" s="36"/>
      <c r="AL11" s="35"/>
      <c r="AM11" s="37">
        <f t="shared" si="1"/>
        <v>24</v>
      </c>
      <c r="AN11" s="37">
        <f t="shared" si="2"/>
        <v>4</v>
      </c>
      <c r="AO11" s="37">
        <f t="shared" si="3"/>
        <v>0</v>
      </c>
      <c r="AP11" s="37">
        <f t="shared" si="4"/>
        <v>24</v>
      </c>
      <c r="AQ11" s="38">
        <f t="shared" si="5"/>
        <v>28</v>
      </c>
      <c r="AR11" s="39">
        <f t="shared" si="6"/>
        <v>85.71428571</v>
      </c>
      <c r="AS11" s="1"/>
      <c r="AT11" s="1"/>
    </row>
    <row r="12">
      <c r="A12" s="31">
        <v>5.0</v>
      </c>
      <c r="B12" s="32" t="s">
        <v>30</v>
      </c>
      <c r="C12" s="40" t="s">
        <v>41</v>
      </c>
      <c r="D12" s="40" t="s">
        <v>42</v>
      </c>
      <c r="E12" s="35" t="s">
        <v>33</v>
      </c>
      <c r="F12" s="35" t="s">
        <v>33</v>
      </c>
      <c r="G12" s="35" t="s">
        <v>33</v>
      </c>
      <c r="H12" s="35" t="s">
        <v>33</v>
      </c>
      <c r="I12" s="35" t="s">
        <v>36</v>
      </c>
      <c r="J12" s="35" t="s">
        <v>33</v>
      </c>
      <c r="K12" s="35" t="s">
        <v>36</v>
      </c>
      <c r="L12" s="35" t="s">
        <v>33</v>
      </c>
      <c r="M12" s="35" t="s">
        <v>33</v>
      </c>
      <c r="N12" s="35" t="s">
        <v>36</v>
      </c>
      <c r="O12" s="35" t="s">
        <v>33</v>
      </c>
      <c r="P12" s="35" t="s">
        <v>33</v>
      </c>
      <c r="Q12" s="35" t="s">
        <v>33</v>
      </c>
      <c r="R12" s="35" t="s">
        <v>33</v>
      </c>
      <c r="S12" s="35" t="s">
        <v>33</v>
      </c>
      <c r="T12" s="35" t="s">
        <v>33</v>
      </c>
      <c r="U12" s="35" t="s">
        <v>33</v>
      </c>
      <c r="V12" s="35" t="s">
        <v>33</v>
      </c>
      <c r="W12" s="35" t="s">
        <v>33</v>
      </c>
      <c r="X12" s="35" t="s">
        <v>33</v>
      </c>
      <c r="Y12" s="35" t="s">
        <v>33</v>
      </c>
      <c r="Z12" s="35" t="s">
        <v>33</v>
      </c>
      <c r="AA12" s="35" t="s">
        <v>36</v>
      </c>
      <c r="AB12" s="35" t="s">
        <v>33</v>
      </c>
      <c r="AC12" s="35" t="s">
        <v>33</v>
      </c>
      <c r="AD12" s="35" t="s">
        <v>33</v>
      </c>
      <c r="AE12" s="35" t="s">
        <v>33</v>
      </c>
      <c r="AF12" s="35" t="s">
        <v>33</v>
      </c>
      <c r="AG12" s="35"/>
      <c r="AH12" s="35"/>
      <c r="AI12" s="35"/>
      <c r="AJ12" s="35"/>
      <c r="AK12" s="35"/>
      <c r="AL12" s="35"/>
      <c r="AM12" s="37">
        <f t="shared" si="1"/>
        <v>24</v>
      </c>
      <c r="AN12" s="37">
        <f t="shared" si="2"/>
        <v>4</v>
      </c>
      <c r="AO12" s="37">
        <f t="shared" si="3"/>
        <v>0</v>
      </c>
      <c r="AP12" s="37">
        <f t="shared" si="4"/>
        <v>24</v>
      </c>
      <c r="AQ12" s="38">
        <f t="shared" si="5"/>
        <v>28</v>
      </c>
      <c r="AR12" s="39">
        <f t="shared" si="6"/>
        <v>85.71428571</v>
      </c>
      <c r="AS12" s="1"/>
      <c r="AT12" s="1"/>
    </row>
    <row r="13">
      <c r="A13" s="31">
        <v>6.0</v>
      </c>
      <c r="B13" s="32" t="s">
        <v>30</v>
      </c>
      <c r="C13" s="33" t="s">
        <v>43</v>
      </c>
      <c r="D13" s="33" t="s">
        <v>44</v>
      </c>
      <c r="E13" s="35" t="s">
        <v>36</v>
      </c>
      <c r="F13" s="35" t="s">
        <v>33</v>
      </c>
      <c r="G13" s="35" t="s">
        <v>33</v>
      </c>
      <c r="H13" s="35" t="s">
        <v>33</v>
      </c>
      <c r="I13" s="35" t="s">
        <v>36</v>
      </c>
      <c r="J13" s="35" t="s">
        <v>33</v>
      </c>
      <c r="K13" s="35" t="s">
        <v>33</v>
      </c>
      <c r="L13" s="35" t="s">
        <v>33</v>
      </c>
      <c r="M13" s="35" t="s">
        <v>33</v>
      </c>
      <c r="N13" s="35" t="s">
        <v>33</v>
      </c>
      <c r="O13" s="35" t="s">
        <v>33</v>
      </c>
      <c r="P13" s="35" t="s">
        <v>33</v>
      </c>
      <c r="Q13" s="35" t="s">
        <v>36</v>
      </c>
      <c r="R13" s="35" t="s">
        <v>33</v>
      </c>
      <c r="S13" s="35" t="s">
        <v>33</v>
      </c>
      <c r="T13" s="35" t="s">
        <v>33</v>
      </c>
      <c r="U13" s="35" t="s">
        <v>36</v>
      </c>
      <c r="V13" s="35" t="s">
        <v>33</v>
      </c>
      <c r="W13" s="35" t="s">
        <v>33</v>
      </c>
      <c r="X13" s="35" t="s">
        <v>33</v>
      </c>
      <c r="Y13" s="35" t="s">
        <v>33</v>
      </c>
      <c r="Z13" s="35" t="s">
        <v>33</v>
      </c>
      <c r="AA13" s="35" t="s">
        <v>33</v>
      </c>
      <c r="AB13" s="35" t="s">
        <v>33</v>
      </c>
      <c r="AC13" s="35" t="s">
        <v>36</v>
      </c>
      <c r="AD13" s="35" t="s">
        <v>33</v>
      </c>
      <c r="AE13" s="35" t="s">
        <v>33</v>
      </c>
      <c r="AF13" s="35" t="s">
        <v>33</v>
      </c>
      <c r="AG13" s="35"/>
      <c r="AH13" s="35"/>
      <c r="AI13" s="35"/>
      <c r="AJ13" s="35"/>
      <c r="AK13" s="35"/>
      <c r="AL13" s="35"/>
      <c r="AM13" s="37">
        <f t="shared" si="1"/>
        <v>23</v>
      </c>
      <c r="AN13" s="37">
        <f t="shared" si="2"/>
        <v>5</v>
      </c>
      <c r="AO13" s="37">
        <f t="shared" si="3"/>
        <v>0</v>
      </c>
      <c r="AP13" s="37">
        <f t="shared" si="4"/>
        <v>23</v>
      </c>
      <c r="AQ13" s="38">
        <f t="shared" si="5"/>
        <v>28</v>
      </c>
      <c r="AR13" s="39">
        <f t="shared" si="6"/>
        <v>82.14285714</v>
      </c>
      <c r="AS13" s="1"/>
      <c r="AT13" s="1"/>
    </row>
    <row r="14">
      <c r="A14" s="31">
        <v>7.0</v>
      </c>
      <c r="B14" s="32" t="s">
        <v>30</v>
      </c>
      <c r="C14" s="40" t="s">
        <v>45</v>
      </c>
      <c r="D14" s="33" t="s">
        <v>46</v>
      </c>
      <c r="E14" s="35" t="s">
        <v>33</v>
      </c>
      <c r="F14" s="35" t="s">
        <v>33</v>
      </c>
      <c r="G14" s="35" t="s">
        <v>33</v>
      </c>
      <c r="H14" s="35" t="s">
        <v>33</v>
      </c>
      <c r="I14" s="35" t="s">
        <v>33</v>
      </c>
      <c r="J14" s="35" t="s">
        <v>33</v>
      </c>
      <c r="K14" s="35" t="s">
        <v>33</v>
      </c>
      <c r="L14" s="35" t="s">
        <v>33</v>
      </c>
      <c r="M14" s="35" t="s">
        <v>33</v>
      </c>
      <c r="N14" s="35" t="s">
        <v>33</v>
      </c>
      <c r="O14" s="35" t="s">
        <v>33</v>
      </c>
      <c r="P14" s="35" t="s">
        <v>36</v>
      </c>
      <c r="Q14" s="35" t="s">
        <v>33</v>
      </c>
      <c r="R14" s="35" t="s">
        <v>33</v>
      </c>
      <c r="S14" s="35" t="s">
        <v>33</v>
      </c>
      <c r="T14" s="35" t="s">
        <v>36</v>
      </c>
      <c r="U14" s="35" t="s">
        <v>33</v>
      </c>
      <c r="V14" s="35" t="s">
        <v>33</v>
      </c>
      <c r="W14" s="35" t="s">
        <v>36</v>
      </c>
      <c r="X14" s="35" t="s">
        <v>33</v>
      </c>
      <c r="Y14" s="35" t="s">
        <v>33</v>
      </c>
      <c r="Z14" s="35" t="s">
        <v>33</v>
      </c>
      <c r="AA14" s="35" t="s">
        <v>33</v>
      </c>
      <c r="AB14" s="35" t="s">
        <v>33</v>
      </c>
      <c r="AC14" s="35" t="s">
        <v>33</v>
      </c>
      <c r="AD14" s="35" t="s">
        <v>33</v>
      </c>
      <c r="AE14" s="35" t="s">
        <v>33</v>
      </c>
      <c r="AF14" s="35" t="s">
        <v>33</v>
      </c>
      <c r="AG14" s="35"/>
      <c r="AH14" s="35"/>
      <c r="AI14" s="35"/>
      <c r="AJ14" s="35"/>
      <c r="AK14" s="35"/>
      <c r="AL14" s="35"/>
      <c r="AM14" s="37">
        <f t="shared" si="1"/>
        <v>25</v>
      </c>
      <c r="AN14" s="37">
        <f t="shared" si="2"/>
        <v>3</v>
      </c>
      <c r="AO14" s="37">
        <f t="shared" si="3"/>
        <v>0</v>
      </c>
      <c r="AP14" s="37">
        <f t="shared" si="4"/>
        <v>25</v>
      </c>
      <c r="AQ14" s="38">
        <f t="shared" si="5"/>
        <v>28</v>
      </c>
      <c r="AR14" s="39">
        <f t="shared" si="6"/>
        <v>89.28571429</v>
      </c>
      <c r="AS14" s="1"/>
      <c r="AT14" s="1"/>
    </row>
    <row r="15">
      <c r="A15" s="31">
        <v>8.0</v>
      </c>
      <c r="B15" s="32" t="s">
        <v>30</v>
      </c>
      <c r="C15" s="33" t="s">
        <v>47</v>
      </c>
      <c r="D15" s="33" t="s">
        <v>48</v>
      </c>
      <c r="E15" s="35" t="s">
        <v>36</v>
      </c>
      <c r="F15" s="35" t="s">
        <v>36</v>
      </c>
      <c r="G15" s="35" t="s">
        <v>36</v>
      </c>
      <c r="H15" s="35" t="s">
        <v>36</v>
      </c>
      <c r="I15" s="35" t="s">
        <v>33</v>
      </c>
      <c r="J15" s="35" t="s">
        <v>36</v>
      </c>
      <c r="K15" s="35" t="s">
        <v>33</v>
      </c>
      <c r="L15" s="35" t="s">
        <v>33</v>
      </c>
      <c r="M15" s="35" t="s">
        <v>33</v>
      </c>
      <c r="N15" s="35" t="s">
        <v>33</v>
      </c>
      <c r="O15" s="35" t="s">
        <v>36</v>
      </c>
      <c r="P15" s="35" t="s">
        <v>33</v>
      </c>
      <c r="Q15" s="35" t="s">
        <v>33</v>
      </c>
      <c r="R15" s="35" t="s">
        <v>33</v>
      </c>
      <c r="S15" s="35" t="s">
        <v>33</v>
      </c>
      <c r="T15" s="35" t="s">
        <v>33</v>
      </c>
      <c r="U15" s="35" t="s">
        <v>36</v>
      </c>
      <c r="V15" s="35" t="s">
        <v>36</v>
      </c>
      <c r="W15" s="35" t="s">
        <v>36</v>
      </c>
      <c r="X15" s="35" t="s">
        <v>33</v>
      </c>
      <c r="Y15" s="35" t="s">
        <v>33</v>
      </c>
      <c r="Z15" s="35" t="s">
        <v>33</v>
      </c>
      <c r="AA15" s="35" t="s">
        <v>33</v>
      </c>
      <c r="AB15" s="35" t="s">
        <v>33</v>
      </c>
      <c r="AC15" s="35" t="s">
        <v>33</v>
      </c>
      <c r="AD15" s="35" t="s">
        <v>33</v>
      </c>
      <c r="AE15" s="35" t="s">
        <v>36</v>
      </c>
      <c r="AF15" s="35" t="s">
        <v>36</v>
      </c>
      <c r="AG15" s="35"/>
      <c r="AH15" s="35"/>
      <c r="AI15" s="35"/>
      <c r="AJ15" s="35"/>
      <c r="AK15" s="35"/>
      <c r="AL15" s="35"/>
      <c r="AM15" s="37">
        <f t="shared" si="1"/>
        <v>17</v>
      </c>
      <c r="AN15" s="37">
        <f t="shared" si="2"/>
        <v>11</v>
      </c>
      <c r="AO15" s="37">
        <f t="shared" si="3"/>
        <v>0</v>
      </c>
      <c r="AP15" s="37">
        <f t="shared" si="4"/>
        <v>17</v>
      </c>
      <c r="AQ15" s="38">
        <f t="shared" si="5"/>
        <v>28</v>
      </c>
      <c r="AR15" s="39">
        <f t="shared" si="6"/>
        <v>60.71428571</v>
      </c>
      <c r="AS15" s="1"/>
      <c r="AT15" s="1"/>
    </row>
    <row r="16">
      <c r="A16" s="31">
        <v>9.0</v>
      </c>
      <c r="B16" s="41" t="s">
        <v>30</v>
      </c>
      <c r="C16" s="40" t="s">
        <v>49</v>
      </c>
      <c r="D16" s="33" t="s">
        <v>50</v>
      </c>
      <c r="E16" s="35" t="s">
        <v>36</v>
      </c>
      <c r="F16" s="35" t="s">
        <v>36</v>
      </c>
      <c r="G16" s="35" t="s">
        <v>36</v>
      </c>
      <c r="H16" s="35" t="s">
        <v>33</v>
      </c>
      <c r="I16" s="35" t="s">
        <v>36</v>
      </c>
      <c r="J16" s="35" t="s">
        <v>36</v>
      </c>
      <c r="K16" s="35" t="s">
        <v>36</v>
      </c>
      <c r="L16" s="35" t="s">
        <v>36</v>
      </c>
      <c r="M16" s="35" t="s">
        <v>33</v>
      </c>
      <c r="N16" s="35" t="s">
        <v>33</v>
      </c>
      <c r="O16" s="35" t="s">
        <v>36</v>
      </c>
      <c r="P16" s="35" t="s">
        <v>33</v>
      </c>
      <c r="Q16" s="35" t="s">
        <v>33</v>
      </c>
      <c r="R16" s="35" t="s">
        <v>33</v>
      </c>
      <c r="S16" s="35" t="s">
        <v>33</v>
      </c>
      <c r="T16" s="35" t="s">
        <v>33</v>
      </c>
      <c r="U16" s="35" t="s">
        <v>36</v>
      </c>
      <c r="V16" s="35" t="s">
        <v>33</v>
      </c>
      <c r="W16" s="35" t="s">
        <v>33</v>
      </c>
      <c r="X16" s="35" t="s">
        <v>33</v>
      </c>
      <c r="Y16" s="35" t="s">
        <v>33</v>
      </c>
      <c r="Z16" s="35" t="s">
        <v>33</v>
      </c>
      <c r="AA16" s="35" t="s">
        <v>33</v>
      </c>
      <c r="AB16" s="35" t="s">
        <v>33</v>
      </c>
      <c r="AC16" s="35" t="s">
        <v>33</v>
      </c>
      <c r="AD16" s="35" t="s">
        <v>33</v>
      </c>
      <c r="AE16" s="35" t="s">
        <v>33</v>
      </c>
      <c r="AF16" s="35" t="s">
        <v>33</v>
      </c>
      <c r="AG16" s="35"/>
      <c r="AH16" s="35"/>
      <c r="AI16" s="35"/>
      <c r="AJ16" s="35"/>
      <c r="AK16" s="35"/>
      <c r="AL16" s="35"/>
      <c r="AM16" s="37">
        <f t="shared" si="1"/>
        <v>19</v>
      </c>
      <c r="AN16" s="37">
        <f t="shared" si="2"/>
        <v>9</v>
      </c>
      <c r="AO16" s="37">
        <f t="shared" si="3"/>
        <v>0</v>
      </c>
      <c r="AP16" s="37">
        <f t="shared" si="4"/>
        <v>19</v>
      </c>
      <c r="AQ16" s="38">
        <f t="shared" si="5"/>
        <v>28</v>
      </c>
      <c r="AR16" s="39">
        <f t="shared" si="6"/>
        <v>67.85714286</v>
      </c>
      <c r="AS16" s="1"/>
      <c r="AT16" s="1"/>
    </row>
    <row r="17">
      <c r="A17" s="31">
        <v>10.0</v>
      </c>
      <c r="B17" s="32" t="s">
        <v>30</v>
      </c>
      <c r="C17" s="40" t="s">
        <v>51</v>
      </c>
      <c r="D17" s="33" t="s">
        <v>52</v>
      </c>
      <c r="E17" s="35" t="s">
        <v>33</v>
      </c>
      <c r="F17" s="35" t="s">
        <v>33</v>
      </c>
      <c r="G17" s="35" t="s">
        <v>33</v>
      </c>
      <c r="H17" s="35" t="s">
        <v>33</v>
      </c>
      <c r="I17" s="35" t="s">
        <v>33</v>
      </c>
      <c r="J17" s="35" t="s">
        <v>33</v>
      </c>
      <c r="K17" s="35" t="s">
        <v>33</v>
      </c>
      <c r="L17" s="35" t="s">
        <v>33</v>
      </c>
      <c r="M17" s="35" t="s">
        <v>33</v>
      </c>
      <c r="N17" s="35" t="s">
        <v>33</v>
      </c>
      <c r="O17" s="35" t="s">
        <v>33</v>
      </c>
      <c r="P17" s="35" t="s">
        <v>33</v>
      </c>
      <c r="Q17" s="35" t="s">
        <v>33</v>
      </c>
      <c r="R17" s="35" t="s">
        <v>33</v>
      </c>
      <c r="S17" s="35" t="s">
        <v>33</v>
      </c>
      <c r="T17" s="35" t="s">
        <v>33</v>
      </c>
      <c r="U17" s="35" t="s">
        <v>33</v>
      </c>
      <c r="V17" s="35" t="s">
        <v>33</v>
      </c>
      <c r="W17" s="35" t="s">
        <v>33</v>
      </c>
      <c r="X17" s="35" t="s">
        <v>33</v>
      </c>
      <c r="Y17" s="35" t="s">
        <v>33</v>
      </c>
      <c r="Z17" s="35" t="s">
        <v>33</v>
      </c>
      <c r="AA17" s="35" t="s">
        <v>33</v>
      </c>
      <c r="AB17" s="35" t="s">
        <v>36</v>
      </c>
      <c r="AC17" s="35" t="s">
        <v>33</v>
      </c>
      <c r="AD17" s="35" t="s">
        <v>33</v>
      </c>
      <c r="AE17" s="35" t="s">
        <v>33</v>
      </c>
      <c r="AF17" s="35" t="s">
        <v>33</v>
      </c>
      <c r="AG17" s="35"/>
      <c r="AH17" s="35"/>
      <c r="AI17" s="35"/>
      <c r="AJ17" s="35"/>
      <c r="AK17" s="35"/>
      <c r="AL17" s="35"/>
      <c r="AM17" s="37">
        <f t="shared" si="1"/>
        <v>27</v>
      </c>
      <c r="AN17" s="37">
        <f t="shared" si="2"/>
        <v>1</v>
      </c>
      <c r="AO17" s="37">
        <f t="shared" si="3"/>
        <v>0</v>
      </c>
      <c r="AP17" s="37">
        <f t="shared" si="4"/>
        <v>27</v>
      </c>
      <c r="AQ17" s="38">
        <f t="shared" si="5"/>
        <v>28</v>
      </c>
      <c r="AR17" s="39">
        <f t="shared" si="6"/>
        <v>96.42857143</v>
      </c>
      <c r="AS17" s="1"/>
      <c r="AT17" s="1"/>
    </row>
    <row r="18">
      <c r="A18" s="31">
        <v>11.0</v>
      </c>
      <c r="B18" s="32" t="s">
        <v>30</v>
      </c>
      <c r="C18" s="40" t="s">
        <v>53</v>
      </c>
      <c r="D18" s="40" t="s">
        <v>54</v>
      </c>
      <c r="E18" s="35" t="s">
        <v>36</v>
      </c>
      <c r="F18" s="35" t="s">
        <v>36</v>
      </c>
      <c r="G18" s="35" t="s">
        <v>36</v>
      </c>
      <c r="H18" s="35" t="s">
        <v>33</v>
      </c>
      <c r="I18" s="35" t="s">
        <v>33</v>
      </c>
      <c r="J18" s="35" t="s">
        <v>33</v>
      </c>
      <c r="K18" s="35" t="s">
        <v>33</v>
      </c>
      <c r="L18" s="35" t="s">
        <v>33</v>
      </c>
      <c r="M18" s="35" t="s">
        <v>33</v>
      </c>
      <c r="N18" s="35" t="s">
        <v>33</v>
      </c>
      <c r="O18" s="35" t="s">
        <v>33</v>
      </c>
      <c r="P18" s="35" t="s">
        <v>36</v>
      </c>
      <c r="Q18" s="35" t="s">
        <v>33</v>
      </c>
      <c r="R18" s="35" t="s">
        <v>33</v>
      </c>
      <c r="S18" s="35" t="s">
        <v>33</v>
      </c>
      <c r="T18" s="35" t="s">
        <v>33</v>
      </c>
      <c r="U18" s="35" t="s">
        <v>33</v>
      </c>
      <c r="V18" s="35" t="s">
        <v>33</v>
      </c>
      <c r="W18" s="35" t="s">
        <v>33</v>
      </c>
      <c r="X18" s="35" t="s">
        <v>33</v>
      </c>
      <c r="Y18" s="35" t="s">
        <v>33</v>
      </c>
      <c r="Z18" s="35" t="s">
        <v>33</v>
      </c>
      <c r="AA18" s="35" t="s">
        <v>33</v>
      </c>
      <c r="AB18" s="35" t="s">
        <v>33</v>
      </c>
      <c r="AC18" s="35" t="s">
        <v>33</v>
      </c>
      <c r="AD18" s="35" t="s">
        <v>33</v>
      </c>
      <c r="AE18" s="35" t="s">
        <v>36</v>
      </c>
      <c r="AF18" s="35" t="s">
        <v>33</v>
      </c>
      <c r="AG18" s="35"/>
      <c r="AH18" s="35"/>
      <c r="AI18" s="35"/>
      <c r="AJ18" s="35"/>
      <c r="AK18" s="35"/>
      <c r="AL18" s="35"/>
      <c r="AM18" s="37">
        <f t="shared" si="1"/>
        <v>23</v>
      </c>
      <c r="AN18" s="37">
        <f t="shared" si="2"/>
        <v>5</v>
      </c>
      <c r="AO18" s="37">
        <f t="shared" si="3"/>
        <v>0</v>
      </c>
      <c r="AP18" s="37">
        <f t="shared" si="4"/>
        <v>23</v>
      </c>
      <c r="AQ18" s="38">
        <f t="shared" si="5"/>
        <v>28</v>
      </c>
      <c r="AR18" s="39">
        <f t="shared" si="6"/>
        <v>82.14285714</v>
      </c>
      <c r="AS18" s="1"/>
      <c r="AT18" s="1"/>
    </row>
    <row r="19">
      <c r="A19" s="31">
        <v>12.0</v>
      </c>
      <c r="B19" s="32" t="s">
        <v>30</v>
      </c>
      <c r="C19" s="33" t="s">
        <v>55</v>
      </c>
      <c r="D19" s="33" t="s">
        <v>56</v>
      </c>
      <c r="E19" s="35" t="s">
        <v>36</v>
      </c>
      <c r="F19" s="35" t="s">
        <v>36</v>
      </c>
      <c r="G19" s="35" t="s">
        <v>33</v>
      </c>
      <c r="H19" s="35" t="s">
        <v>33</v>
      </c>
      <c r="I19" s="35" t="s">
        <v>33</v>
      </c>
      <c r="J19" s="35" t="s">
        <v>33</v>
      </c>
      <c r="K19" s="35" t="s">
        <v>33</v>
      </c>
      <c r="L19" s="35" t="s">
        <v>33</v>
      </c>
      <c r="M19" s="35" t="s">
        <v>33</v>
      </c>
      <c r="N19" s="35" t="s">
        <v>33</v>
      </c>
      <c r="O19" s="35" t="s">
        <v>33</v>
      </c>
      <c r="P19" s="35" t="s">
        <v>33</v>
      </c>
      <c r="Q19" s="35" t="s">
        <v>33</v>
      </c>
      <c r="R19" s="35" t="s">
        <v>33</v>
      </c>
      <c r="S19" s="35" t="s">
        <v>33</v>
      </c>
      <c r="T19" s="35" t="s">
        <v>33</v>
      </c>
      <c r="U19" s="35" t="s">
        <v>36</v>
      </c>
      <c r="V19" s="35" t="s">
        <v>33</v>
      </c>
      <c r="W19" s="35" t="s">
        <v>33</v>
      </c>
      <c r="X19" s="35" t="s">
        <v>33</v>
      </c>
      <c r="Y19" s="35" t="s">
        <v>33</v>
      </c>
      <c r="Z19" s="35" t="s">
        <v>33</v>
      </c>
      <c r="AA19" s="35" t="s">
        <v>33</v>
      </c>
      <c r="AB19" s="35" t="s">
        <v>33</v>
      </c>
      <c r="AC19" s="35" t="s">
        <v>33</v>
      </c>
      <c r="AD19" s="35" t="s">
        <v>33</v>
      </c>
      <c r="AE19" s="35" t="s">
        <v>33</v>
      </c>
      <c r="AF19" s="35" t="s">
        <v>33</v>
      </c>
      <c r="AG19" s="35"/>
      <c r="AH19" s="35"/>
      <c r="AI19" s="35"/>
      <c r="AJ19" s="35"/>
      <c r="AK19" s="35"/>
      <c r="AL19" s="35"/>
      <c r="AM19" s="37">
        <f t="shared" si="1"/>
        <v>25</v>
      </c>
      <c r="AN19" s="37">
        <f t="shared" si="2"/>
        <v>3</v>
      </c>
      <c r="AO19" s="37">
        <f t="shared" si="3"/>
        <v>0</v>
      </c>
      <c r="AP19" s="37">
        <f t="shared" si="4"/>
        <v>25</v>
      </c>
      <c r="AQ19" s="38">
        <f t="shared" si="5"/>
        <v>28</v>
      </c>
      <c r="AR19" s="39">
        <f t="shared" si="6"/>
        <v>89.28571429</v>
      </c>
      <c r="AS19" s="1"/>
      <c r="AT19" s="1"/>
    </row>
    <row r="20">
      <c r="A20" s="31">
        <v>13.0</v>
      </c>
      <c r="B20" s="32" t="s">
        <v>30</v>
      </c>
      <c r="C20" s="40" t="s">
        <v>57</v>
      </c>
      <c r="D20" s="40" t="s">
        <v>58</v>
      </c>
      <c r="E20" s="35" t="s">
        <v>33</v>
      </c>
      <c r="F20" s="35" t="s">
        <v>33</v>
      </c>
      <c r="G20" s="35" t="s">
        <v>33</v>
      </c>
      <c r="H20" s="35" t="s">
        <v>33</v>
      </c>
      <c r="I20" s="35" t="s">
        <v>33</v>
      </c>
      <c r="J20" s="35" t="s">
        <v>33</v>
      </c>
      <c r="K20" s="35" t="s">
        <v>33</v>
      </c>
      <c r="L20" s="35" t="s">
        <v>33</v>
      </c>
      <c r="M20" s="35" t="s">
        <v>33</v>
      </c>
      <c r="N20" s="35" t="s">
        <v>33</v>
      </c>
      <c r="O20" s="35" t="s">
        <v>33</v>
      </c>
      <c r="P20" s="35" t="s">
        <v>33</v>
      </c>
      <c r="Q20" s="35" t="s">
        <v>33</v>
      </c>
      <c r="R20" s="35" t="s">
        <v>33</v>
      </c>
      <c r="S20" s="35" t="s">
        <v>33</v>
      </c>
      <c r="T20" s="35" t="s">
        <v>33</v>
      </c>
      <c r="U20" s="35" t="s">
        <v>33</v>
      </c>
      <c r="V20" s="35" t="s">
        <v>33</v>
      </c>
      <c r="W20" s="35" t="s">
        <v>33</v>
      </c>
      <c r="X20" s="35" t="s">
        <v>33</v>
      </c>
      <c r="Y20" s="35" t="s">
        <v>33</v>
      </c>
      <c r="Z20" s="35" t="s">
        <v>33</v>
      </c>
      <c r="AA20" s="35" t="s">
        <v>33</v>
      </c>
      <c r="AB20" s="35" t="s">
        <v>33</v>
      </c>
      <c r="AC20" s="35" t="s">
        <v>33</v>
      </c>
      <c r="AD20" s="35" t="s">
        <v>33</v>
      </c>
      <c r="AE20" s="35" t="s">
        <v>33</v>
      </c>
      <c r="AF20" s="35" t="s">
        <v>33</v>
      </c>
      <c r="AG20" s="35"/>
      <c r="AH20" s="35"/>
      <c r="AI20" s="35"/>
      <c r="AJ20" s="35"/>
      <c r="AK20" s="35"/>
      <c r="AL20" s="35"/>
      <c r="AM20" s="37">
        <f t="shared" si="1"/>
        <v>28</v>
      </c>
      <c r="AN20" s="37">
        <f t="shared" si="2"/>
        <v>0</v>
      </c>
      <c r="AO20" s="37">
        <f t="shared" si="3"/>
        <v>0</v>
      </c>
      <c r="AP20" s="37">
        <f t="shared" si="4"/>
        <v>28</v>
      </c>
      <c r="AQ20" s="38">
        <f t="shared" si="5"/>
        <v>28</v>
      </c>
      <c r="AR20" s="39">
        <f t="shared" si="6"/>
        <v>100</v>
      </c>
      <c r="AS20" s="1"/>
      <c r="AT20" s="1"/>
    </row>
    <row r="21">
      <c r="A21" s="31">
        <v>14.0</v>
      </c>
      <c r="B21" s="32" t="s">
        <v>30</v>
      </c>
      <c r="C21" s="33" t="s">
        <v>59</v>
      </c>
      <c r="D21" s="33" t="s">
        <v>60</v>
      </c>
      <c r="E21" s="35" t="s">
        <v>33</v>
      </c>
      <c r="F21" s="35" t="s">
        <v>33</v>
      </c>
      <c r="G21" s="35" t="s">
        <v>33</v>
      </c>
      <c r="H21" s="35" t="s">
        <v>33</v>
      </c>
      <c r="I21" s="35" t="s">
        <v>33</v>
      </c>
      <c r="J21" s="35" t="s">
        <v>36</v>
      </c>
      <c r="K21" s="35" t="s">
        <v>33</v>
      </c>
      <c r="L21" s="35" t="s">
        <v>33</v>
      </c>
      <c r="M21" s="35" t="s">
        <v>33</v>
      </c>
      <c r="N21" s="35" t="s">
        <v>33</v>
      </c>
      <c r="O21" s="35" t="s">
        <v>33</v>
      </c>
      <c r="P21" s="35" t="s">
        <v>33</v>
      </c>
      <c r="Q21" s="35" t="s">
        <v>33</v>
      </c>
      <c r="R21" s="35" t="s">
        <v>33</v>
      </c>
      <c r="S21" s="35" t="s">
        <v>33</v>
      </c>
      <c r="T21" s="35" t="s">
        <v>33</v>
      </c>
      <c r="U21" s="35" t="s">
        <v>33</v>
      </c>
      <c r="V21" s="35" t="s">
        <v>33</v>
      </c>
      <c r="W21" s="35" t="s">
        <v>33</v>
      </c>
      <c r="X21" s="35" t="s">
        <v>36</v>
      </c>
      <c r="Y21" s="35" t="s">
        <v>33</v>
      </c>
      <c r="Z21" s="35" t="s">
        <v>33</v>
      </c>
      <c r="AA21" s="35" t="s">
        <v>33</v>
      </c>
      <c r="AB21" s="35" t="s">
        <v>33</v>
      </c>
      <c r="AC21" s="35" t="s">
        <v>33</v>
      </c>
      <c r="AD21" s="35" t="s">
        <v>33</v>
      </c>
      <c r="AE21" s="35" t="s">
        <v>33</v>
      </c>
      <c r="AF21" s="35" t="s">
        <v>33</v>
      </c>
      <c r="AG21" s="35"/>
      <c r="AH21" s="35"/>
      <c r="AI21" s="35"/>
      <c r="AJ21" s="35"/>
      <c r="AK21" s="35"/>
      <c r="AL21" s="35"/>
      <c r="AM21" s="37">
        <f t="shared" si="1"/>
        <v>26</v>
      </c>
      <c r="AN21" s="37">
        <f t="shared" si="2"/>
        <v>2</v>
      </c>
      <c r="AO21" s="37">
        <f t="shared" si="3"/>
        <v>0</v>
      </c>
      <c r="AP21" s="37">
        <f t="shared" si="4"/>
        <v>26</v>
      </c>
      <c r="AQ21" s="38">
        <f t="shared" si="5"/>
        <v>28</v>
      </c>
      <c r="AR21" s="39">
        <f t="shared" si="6"/>
        <v>92.85714286</v>
      </c>
      <c r="AS21" s="1"/>
      <c r="AT21" s="1"/>
    </row>
    <row r="22">
      <c r="A22" s="31">
        <v>15.0</v>
      </c>
      <c r="B22" s="32" t="s">
        <v>30</v>
      </c>
      <c r="C22" s="40" t="s">
        <v>61</v>
      </c>
      <c r="D22" s="40" t="s">
        <v>62</v>
      </c>
      <c r="E22" s="35" t="s">
        <v>36</v>
      </c>
      <c r="F22" s="35" t="s">
        <v>36</v>
      </c>
      <c r="G22" s="35" t="s">
        <v>36</v>
      </c>
      <c r="H22" s="35" t="s">
        <v>33</v>
      </c>
      <c r="I22" s="35" t="s">
        <v>33</v>
      </c>
      <c r="J22" s="35" t="s">
        <v>33</v>
      </c>
      <c r="K22" s="35" t="s">
        <v>33</v>
      </c>
      <c r="L22" s="35" t="s">
        <v>33</v>
      </c>
      <c r="M22" s="35" t="s">
        <v>33</v>
      </c>
      <c r="N22" s="35" t="s">
        <v>33</v>
      </c>
      <c r="O22" s="35" t="s">
        <v>33</v>
      </c>
      <c r="P22" s="35" t="s">
        <v>33</v>
      </c>
      <c r="Q22" s="35" t="s">
        <v>33</v>
      </c>
      <c r="R22" s="35" t="s">
        <v>33</v>
      </c>
      <c r="S22" s="35" t="s">
        <v>33</v>
      </c>
      <c r="T22" s="35" t="s">
        <v>33</v>
      </c>
      <c r="U22" s="35" t="s">
        <v>33</v>
      </c>
      <c r="V22" s="35" t="s">
        <v>33</v>
      </c>
      <c r="W22" s="35" t="s">
        <v>33</v>
      </c>
      <c r="X22" s="35" t="s">
        <v>33</v>
      </c>
      <c r="Y22" s="35" t="s">
        <v>33</v>
      </c>
      <c r="Z22" s="35" t="s">
        <v>33</v>
      </c>
      <c r="AA22" s="35" t="s">
        <v>33</v>
      </c>
      <c r="AB22" s="35" t="s">
        <v>33</v>
      </c>
      <c r="AC22" s="35" t="s">
        <v>33</v>
      </c>
      <c r="AD22" s="35" t="s">
        <v>33</v>
      </c>
      <c r="AE22" s="35" t="s">
        <v>33</v>
      </c>
      <c r="AF22" s="35" t="s">
        <v>33</v>
      </c>
      <c r="AG22" s="35"/>
      <c r="AH22" s="35"/>
      <c r="AI22" s="35"/>
      <c r="AJ22" s="35"/>
      <c r="AK22" s="35"/>
      <c r="AL22" s="35"/>
      <c r="AM22" s="37">
        <f t="shared" si="1"/>
        <v>25</v>
      </c>
      <c r="AN22" s="37">
        <f t="shared" si="2"/>
        <v>3</v>
      </c>
      <c r="AO22" s="37">
        <f t="shared" si="3"/>
        <v>0</v>
      </c>
      <c r="AP22" s="37">
        <f t="shared" si="4"/>
        <v>25</v>
      </c>
      <c r="AQ22" s="38">
        <f t="shared" si="5"/>
        <v>28</v>
      </c>
      <c r="AR22" s="39">
        <f t="shared" si="6"/>
        <v>89.28571429</v>
      </c>
      <c r="AS22" s="1"/>
      <c r="AT22" s="1"/>
    </row>
    <row r="23">
      <c r="A23" s="31">
        <v>16.0</v>
      </c>
      <c r="B23" s="32" t="s">
        <v>30</v>
      </c>
      <c r="C23" s="33" t="s">
        <v>63</v>
      </c>
      <c r="D23" s="33" t="s">
        <v>64</v>
      </c>
      <c r="E23" s="35" t="s">
        <v>33</v>
      </c>
      <c r="F23" s="35" t="s">
        <v>33</v>
      </c>
      <c r="G23" s="35" t="s">
        <v>33</v>
      </c>
      <c r="H23" s="35" t="s">
        <v>33</v>
      </c>
      <c r="I23" s="35" t="s">
        <v>33</v>
      </c>
      <c r="J23" s="35" t="s">
        <v>33</v>
      </c>
      <c r="K23" s="35" t="s">
        <v>33</v>
      </c>
      <c r="L23" s="35" t="s">
        <v>33</v>
      </c>
      <c r="M23" s="35" t="s">
        <v>33</v>
      </c>
      <c r="N23" s="35" t="s">
        <v>33</v>
      </c>
      <c r="O23" s="35" t="s">
        <v>33</v>
      </c>
      <c r="P23" s="35" t="s">
        <v>33</v>
      </c>
      <c r="Q23" s="35" t="s">
        <v>33</v>
      </c>
      <c r="R23" s="35" t="s">
        <v>33</v>
      </c>
      <c r="S23" s="35" t="s">
        <v>33</v>
      </c>
      <c r="T23" s="35" t="s">
        <v>33</v>
      </c>
      <c r="U23" s="35" t="s">
        <v>33</v>
      </c>
      <c r="V23" s="35" t="s">
        <v>33</v>
      </c>
      <c r="W23" s="35" t="s">
        <v>33</v>
      </c>
      <c r="X23" s="35" t="s">
        <v>33</v>
      </c>
      <c r="Y23" s="35" t="s">
        <v>33</v>
      </c>
      <c r="Z23" s="35" t="s">
        <v>33</v>
      </c>
      <c r="AA23" s="35" t="s">
        <v>33</v>
      </c>
      <c r="AB23" s="35" t="s">
        <v>33</v>
      </c>
      <c r="AC23" s="35" t="s">
        <v>33</v>
      </c>
      <c r="AD23" s="35" t="s">
        <v>33</v>
      </c>
      <c r="AE23" s="35" t="s">
        <v>33</v>
      </c>
      <c r="AF23" s="35" t="s">
        <v>36</v>
      </c>
      <c r="AG23" s="35"/>
      <c r="AH23" s="35"/>
      <c r="AI23" s="35"/>
      <c r="AJ23" s="35"/>
      <c r="AK23" s="35"/>
      <c r="AL23" s="35"/>
      <c r="AM23" s="37">
        <f t="shared" si="1"/>
        <v>27</v>
      </c>
      <c r="AN23" s="37">
        <f t="shared" si="2"/>
        <v>1</v>
      </c>
      <c r="AO23" s="37">
        <f t="shared" si="3"/>
        <v>0</v>
      </c>
      <c r="AP23" s="37">
        <f t="shared" si="4"/>
        <v>27</v>
      </c>
      <c r="AQ23" s="38">
        <f t="shared" si="5"/>
        <v>28</v>
      </c>
      <c r="AR23" s="39">
        <f t="shared" si="6"/>
        <v>96.42857143</v>
      </c>
      <c r="AS23" s="1"/>
      <c r="AT23" s="1"/>
    </row>
    <row r="24">
      <c r="A24" s="31">
        <v>17.0</v>
      </c>
      <c r="B24" s="32" t="s">
        <v>30</v>
      </c>
      <c r="C24" s="33" t="s">
        <v>65</v>
      </c>
      <c r="D24" s="33" t="s">
        <v>66</v>
      </c>
      <c r="E24" s="35" t="s">
        <v>33</v>
      </c>
      <c r="F24" s="35" t="s">
        <v>33</v>
      </c>
      <c r="G24" s="35" t="s">
        <v>36</v>
      </c>
      <c r="H24" s="35" t="s">
        <v>33</v>
      </c>
      <c r="I24" s="35" t="s">
        <v>33</v>
      </c>
      <c r="J24" s="35" t="s">
        <v>33</v>
      </c>
      <c r="K24" s="35" t="s">
        <v>33</v>
      </c>
      <c r="L24" s="35" t="s">
        <v>33</v>
      </c>
      <c r="M24" s="35" t="s">
        <v>33</v>
      </c>
      <c r="N24" s="35" t="s">
        <v>33</v>
      </c>
      <c r="O24" s="35" t="s">
        <v>33</v>
      </c>
      <c r="P24" s="35" t="s">
        <v>33</v>
      </c>
      <c r="Q24" s="35" t="s">
        <v>33</v>
      </c>
      <c r="R24" s="35" t="s">
        <v>33</v>
      </c>
      <c r="S24" s="35" t="s">
        <v>33</v>
      </c>
      <c r="T24" s="35" t="s">
        <v>33</v>
      </c>
      <c r="U24" s="35" t="s">
        <v>33</v>
      </c>
      <c r="V24" s="35" t="s">
        <v>33</v>
      </c>
      <c r="W24" s="35" t="s">
        <v>33</v>
      </c>
      <c r="X24" s="35" t="s">
        <v>33</v>
      </c>
      <c r="Y24" s="35" t="s">
        <v>33</v>
      </c>
      <c r="Z24" s="35" t="s">
        <v>33</v>
      </c>
      <c r="AA24" s="35" t="s">
        <v>33</v>
      </c>
      <c r="AB24" s="35" t="s">
        <v>33</v>
      </c>
      <c r="AC24" s="35" t="s">
        <v>33</v>
      </c>
      <c r="AD24" s="35" t="s">
        <v>33</v>
      </c>
      <c r="AE24" s="35" t="s">
        <v>33</v>
      </c>
      <c r="AF24" s="35" t="s">
        <v>33</v>
      </c>
      <c r="AG24" s="35"/>
      <c r="AH24" s="35"/>
      <c r="AI24" s="35"/>
      <c r="AJ24" s="35"/>
      <c r="AK24" s="35"/>
      <c r="AL24" s="35"/>
      <c r="AM24" s="37">
        <f t="shared" si="1"/>
        <v>27</v>
      </c>
      <c r="AN24" s="37">
        <f t="shared" si="2"/>
        <v>1</v>
      </c>
      <c r="AO24" s="37">
        <f t="shared" si="3"/>
        <v>0</v>
      </c>
      <c r="AP24" s="37">
        <f t="shared" si="4"/>
        <v>27</v>
      </c>
      <c r="AQ24" s="38">
        <f t="shared" si="5"/>
        <v>28</v>
      </c>
      <c r="AR24" s="39">
        <f t="shared" si="6"/>
        <v>96.42857143</v>
      </c>
      <c r="AS24" s="1"/>
      <c r="AT24" s="1"/>
    </row>
    <row r="25">
      <c r="A25" s="31">
        <v>18.0</v>
      </c>
      <c r="B25" s="32" t="s">
        <v>30</v>
      </c>
      <c r="C25" s="40" t="s">
        <v>67</v>
      </c>
      <c r="D25" s="33" t="s">
        <v>68</v>
      </c>
      <c r="E25" s="35" t="s">
        <v>33</v>
      </c>
      <c r="F25" s="35" t="s">
        <v>33</v>
      </c>
      <c r="G25" s="35" t="s">
        <v>33</v>
      </c>
      <c r="H25" s="35" t="s">
        <v>33</v>
      </c>
      <c r="I25" s="35" t="s">
        <v>33</v>
      </c>
      <c r="J25" s="35" t="s">
        <v>33</v>
      </c>
      <c r="K25" s="35" t="s">
        <v>33</v>
      </c>
      <c r="L25" s="35" t="s">
        <v>33</v>
      </c>
      <c r="M25" s="35" t="s">
        <v>33</v>
      </c>
      <c r="N25" s="35" t="s">
        <v>33</v>
      </c>
      <c r="O25" s="35" t="s">
        <v>33</v>
      </c>
      <c r="P25" s="35" t="s">
        <v>33</v>
      </c>
      <c r="Q25" s="35" t="s">
        <v>33</v>
      </c>
      <c r="R25" s="35" t="s">
        <v>33</v>
      </c>
      <c r="S25" s="35" t="s">
        <v>33</v>
      </c>
      <c r="T25" s="35" t="s">
        <v>33</v>
      </c>
      <c r="U25" s="35" t="s">
        <v>33</v>
      </c>
      <c r="V25" s="35" t="s">
        <v>33</v>
      </c>
      <c r="W25" s="35" t="s">
        <v>33</v>
      </c>
      <c r="X25" s="35" t="s">
        <v>33</v>
      </c>
      <c r="Y25" s="35" t="s">
        <v>33</v>
      </c>
      <c r="Z25" s="35" t="s">
        <v>33</v>
      </c>
      <c r="AA25" s="35" t="s">
        <v>33</v>
      </c>
      <c r="AB25" s="35" t="s">
        <v>36</v>
      </c>
      <c r="AC25" s="35" t="s">
        <v>33</v>
      </c>
      <c r="AD25" s="35" t="s">
        <v>33</v>
      </c>
      <c r="AE25" s="35" t="s">
        <v>36</v>
      </c>
      <c r="AF25" s="35" t="s">
        <v>33</v>
      </c>
      <c r="AG25" s="35"/>
      <c r="AH25" s="35"/>
      <c r="AI25" s="35"/>
      <c r="AJ25" s="35"/>
      <c r="AK25" s="35"/>
      <c r="AL25" s="35"/>
      <c r="AM25" s="37">
        <f t="shared" si="1"/>
        <v>26</v>
      </c>
      <c r="AN25" s="37">
        <f t="shared" si="2"/>
        <v>2</v>
      </c>
      <c r="AO25" s="37">
        <f t="shared" si="3"/>
        <v>0</v>
      </c>
      <c r="AP25" s="37">
        <f t="shared" si="4"/>
        <v>26</v>
      </c>
      <c r="AQ25" s="38">
        <f t="shared" si="5"/>
        <v>28</v>
      </c>
      <c r="AR25" s="39">
        <f t="shared" si="6"/>
        <v>92.85714286</v>
      </c>
      <c r="AS25" s="1"/>
      <c r="AT25" s="1"/>
    </row>
    <row r="26">
      <c r="A26" s="31">
        <v>19.0</v>
      </c>
      <c r="B26" s="32" t="s">
        <v>30</v>
      </c>
      <c r="C26" s="42" t="s">
        <v>69</v>
      </c>
      <c r="D26" s="33" t="s">
        <v>70</v>
      </c>
      <c r="E26" s="35" t="s">
        <v>33</v>
      </c>
      <c r="F26" s="35" t="s">
        <v>33</v>
      </c>
      <c r="G26" s="35" t="s">
        <v>33</v>
      </c>
      <c r="H26" s="35" t="s">
        <v>33</v>
      </c>
      <c r="I26" s="35" t="s">
        <v>33</v>
      </c>
      <c r="J26" s="35" t="s">
        <v>33</v>
      </c>
      <c r="K26" s="35" t="s">
        <v>33</v>
      </c>
      <c r="L26" s="35" t="s">
        <v>33</v>
      </c>
      <c r="M26" s="35" t="s">
        <v>33</v>
      </c>
      <c r="N26" s="35" t="s">
        <v>33</v>
      </c>
      <c r="O26" s="35" t="s">
        <v>33</v>
      </c>
      <c r="P26" s="35" t="s">
        <v>33</v>
      </c>
      <c r="Q26" s="35" t="s">
        <v>33</v>
      </c>
      <c r="R26" s="35" t="s">
        <v>33</v>
      </c>
      <c r="S26" s="35" t="s">
        <v>33</v>
      </c>
      <c r="T26" s="35" t="s">
        <v>33</v>
      </c>
      <c r="U26" s="35" t="s">
        <v>33</v>
      </c>
      <c r="V26" s="35" t="s">
        <v>33</v>
      </c>
      <c r="W26" s="35" t="s">
        <v>33</v>
      </c>
      <c r="X26" s="35" t="s">
        <v>33</v>
      </c>
      <c r="Y26" s="35" t="s">
        <v>33</v>
      </c>
      <c r="Z26" s="35" t="s">
        <v>33</v>
      </c>
      <c r="AA26" s="35" t="s">
        <v>33</v>
      </c>
      <c r="AB26" s="35" t="s">
        <v>33</v>
      </c>
      <c r="AC26" s="35" t="s">
        <v>33</v>
      </c>
      <c r="AD26" s="35" t="s">
        <v>33</v>
      </c>
      <c r="AE26" s="35" t="s">
        <v>33</v>
      </c>
      <c r="AF26" s="35" t="s">
        <v>33</v>
      </c>
      <c r="AG26" s="35"/>
      <c r="AH26" s="35"/>
      <c r="AI26" s="35"/>
      <c r="AJ26" s="35"/>
      <c r="AK26" s="35"/>
      <c r="AL26" s="35"/>
      <c r="AM26" s="37">
        <f t="shared" si="1"/>
        <v>28</v>
      </c>
      <c r="AN26" s="37">
        <f t="shared" si="2"/>
        <v>0</v>
      </c>
      <c r="AO26" s="37">
        <f t="shared" si="3"/>
        <v>0</v>
      </c>
      <c r="AP26" s="37">
        <f t="shared" si="4"/>
        <v>28</v>
      </c>
      <c r="AQ26" s="38">
        <f t="shared" si="5"/>
        <v>28</v>
      </c>
      <c r="AR26" s="39">
        <f t="shared" si="6"/>
        <v>100</v>
      </c>
      <c r="AS26" s="1"/>
      <c r="AT26" s="1"/>
    </row>
    <row r="27">
      <c r="A27" s="31">
        <v>20.0</v>
      </c>
      <c r="B27" s="32" t="s">
        <v>30</v>
      </c>
      <c r="C27" s="33" t="s">
        <v>71</v>
      </c>
      <c r="D27" s="33" t="s">
        <v>72</v>
      </c>
      <c r="E27" s="35" t="s">
        <v>33</v>
      </c>
      <c r="F27" s="35" t="s">
        <v>36</v>
      </c>
      <c r="G27" s="35" t="s">
        <v>33</v>
      </c>
      <c r="H27" s="35" t="s">
        <v>36</v>
      </c>
      <c r="I27" s="35" t="s">
        <v>33</v>
      </c>
      <c r="J27" s="35" t="s">
        <v>33</v>
      </c>
      <c r="K27" s="35" t="s">
        <v>33</v>
      </c>
      <c r="L27" s="35" t="s">
        <v>33</v>
      </c>
      <c r="M27" s="35" t="s">
        <v>33</v>
      </c>
      <c r="N27" s="35" t="s">
        <v>33</v>
      </c>
      <c r="O27" s="35" t="s">
        <v>33</v>
      </c>
      <c r="P27" s="35" t="s">
        <v>33</v>
      </c>
      <c r="Q27" s="35" t="s">
        <v>33</v>
      </c>
      <c r="R27" s="35" t="s">
        <v>36</v>
      </c>
      <c r="S27" s="35" t="s">
        <v>33</v>
      </c>
      <c r="T27" s="35" t="s">
        <v>33</v>
      </c>
      <c r="U27" s="35" t="s">
        <v>33</v>
      </c>
      <c r="V27" s="35" t="s">
        <v>33</v>
      </c>
      <c r="W27" s="35" t="s">
        <v>33</v>
      </c>
      <c r="X27" s="35" t="s">
        <v>33</v>
      </c>
      <c r="Y27" s="35" t="s">
        <v>33</v>
      </c>
      <c r="Z27" s="35" t="s">
        <v>33</v>
      </c>
      <c r="AA27" s="35" t="s">
        <v>33</v>
      </c>
      <c r="AB27" s="35" t="s">
        <v>36</v>
      </c>
      <c r="AC27" s="35" t="s">
        <v>33</v>
      </c>
      <c r="AD27" s="35" t="s">
        <v>33</v>
      </c>
      <c r="AE27" s="35" t="s">
        <v>36</v>
      </c>
      <c r="AF27" s="35" t="s">
        <v>36</v>
      </c>
      <c r="AG27" s="35"/>
      <c r="AH27" s="35"/>
      <c r="AI27" s="35"/>
      <c r="AJ27" s="35"/>
      <c r="AK27" s="35"/>
      <c r="AL27" s="35"/>
      <c r="AM27" s="37">
        <f t="shared" si="1"/>
        <v>22</v>
      </c>
      <c r="AN27" s="37">
        <f t="shared" si="2"/>
        <v>6</v>
      </c>
      <c r="AO27" s="37">
        <f t="shared" si="3"/>
        <v>0</v>
      </c>
      <c r="AP27" s="37">
        <f t="shared" si="4"/>
        <v>22</v>
      </c>
      <c r="AQ27" s="38">
        <f t="shared" si="5"/>
        <v>28</v>
      </c>
      <c r="AR27" s="39">
        <f t="shared" si="6"/>
        <v>78.57142857</v>
      </c>
      <c r="AS27" s="1"/>
      <c r="AT27" s="1"/>
    </row>
    <row r="28">
      <c r="A28" s="31">
        <v>21.0</v>
      </c>
      <c r="B28" s="32" t="s">
        <v>30</v>
      </c>
      <c r="C28" s="33" t="s">
        <v>73</v>
      </c>
      <c r="D28" s="33" t="s">
        <v>74</v>
      </c>
      <c r="E28" s="35" t="s">
        <v>33</v>
      </c>
      <c r="F28" s="35" t="s">
        <v>33</v>
      </c>
      <c r="G28" s="35" t="s">
        <v>33</v>
      </c>
      <c r="H28" s="35" t="s">
        <v>36</v>
      </c>
      <c r="I28" s="35" t="s">
        <v>36</v>
      </c>
      <c r="J28" s="35" t="s">
        <v>33</v>
      </c>
      <c r="K28" s="35" t="s">
        <v>33</v>
      </c>
      <c r="L28" s="35" t="s">
        <v>33</v>
      </c>
      <c r="M28" s="35" t="s">
        <v>33</v>
      </c>
      <c r="N28" s="35" t="s">
        <v>33</v>
      </c>
      <c r="O28" s="35" t="s">
        <v>33</v>
      </c>
      <c r="P28" s="35" t="s">
        <v>33</v>
      </c>
      <c r="Q28" s="35" t="s">
        <v>33</v>
      </c>
      <c r="R28" s="35" t="s">
        <v>36</v>
      </c>
      <c r="S28" s="35" t="s">
        <v>33</v>
      </c>
      <c r="T28" s="35" t="s">
        <v>33</v>
      </c>
      <c r="U28" s="35" t="s">
        <v>36</v>
      </c>
      <c r="V28" s="35" t="s">
        <v>33</v>
      </c>
      <c r="W28" s="35" t="s">
        <v>36</v>
      </c>
      <c r="X28" s="35" t="s">
        <v>33</v>
      </c>
      <c r="Y28" s="35" t="s">
        <v>36</v>
      </c>
      <c r="Z28" s="35" t="s">
        <v>33</v>
      </c>
      <c r="AA28" s="35" t="s">
        <v>33</v>
      </c>
      <c r="AB28" s="35" t="s">
        <v>33</v>
      </c>
      <c r="AC28" s="35" t="s">
        <v>33</v>
      </c>
      <c r="AD28" s="35" t="s">
        <v>33</v>
      </c>
      <c r="AE28" s="35" t="s">
        <v>36</v>
      </c>
      <c r="AF28" s="35" t="s">
        <v>36</v>
      </c>
      <c r="AG28" s="35"/>
      <c r="AH28" s="35"/>
      <c r="AI28" s="35"/>
      <c r="AJ28" s="35"/>
      <c r="AK28" s="35"/>
      <c r="AL28" s="35"/>
      <c r="AM28" s="37">
        <f t="shared" si="1"/>
        <v>20</v>
      </c>
      <c r="AN28" s="37">
        <f t="shared" si="2"/>
        <v>8</v>
      </c>
      <c r="AO28" s="37">
        <f t="shared" si="3"/>
        <v>0</v>
      </c>
      <c r="AP28" s="37">
        <f t="shared" si="4"/>
        <v>20</v>
      </c>
      <c r="AQ28" s="38">
        <f t="shared" si="5"/>
        <v>28</v>
      </c>
      <c r="AR28" s="39">
        <f t="shared" si="6"/>
        <v>71.42857143</v>
      </c>
      <c r="AS28" s="1"/>
      <c r="AT28" s="1"/>
    </row>
    <row r="29">
      <c r="A29" s="31">
        <v>22.0</v>
      </c>
      <c r="B29" s="32" t="s">
        <v>30</v>
      </c>
      <c r="C29" s="40" t="s">
        <v>75</v>
      </c>
      <c r="D29" s="40" t="s">
        <v>76</v>
      </c>
      <c r="E29" s="35" t="s">
        <v>33</v>
      </c>
      <c r="F29" s="35" t="s">
        <v>33</v>
      </c>
      <c r="G29" s="35" t="s">
        <v>33</v>
      </c>
      <c r="H29" s="35" t="s">
        <v>33</v>
      </c>
      <c r="I29" s="35" t="s">
        <v>33</v>
      </c>
      <c r="J29" s="35" t="s">
        <v>33</v>
      </c>
      <c r="K29" s="35" t="s">
        <v>33</v>
      </c>
      <c r="L29" s="35" t="s">
        <v>33</v>
      </c>
      <c r="M29" s="35" t="s">
        <v>33</v>
      </c>
      <c r="N29" s="35" t="s">
        <v>33</v>
      </c>
      <c r="O29" s="35" t="s">
        <v>33</v>
      </c>
      <c r="P29" s="35" t="s">
        <v>33</v>
      </c>
      <c r="Q29" s="35" t="s">
        <v>36</v>
      </c>
      <c r="R29" s="35" t="s">
        <v>33</v>
      </c>
      <c r="S29" s="35" t="s">
        <v>33</v>
      </c>
      <c r="T29" s="35" t="s">
        <v>33</v>
      </c>
      <c r="U29" s="35" t="s">
        <v>33</v>
      </c>
      <c r="V29" s="35" t="s">
        <v>33</v>
      </c>
      <c r="W29" s="35" t="s">
        <v>33</v>
      </c>
      <c r="X29" s="35" t="s">
        <v>33</v>
      </c>
      <c r="Y29" s="35" t="s">
        <v>33</v>
      </c>
      <c r="Z29" s="35" t="s">
        <v>33</v>
      </c>
      <c r="AA29" s="35" t="s">
        <v>33</v>
      </c>
      <c r="AB29" s="35" t="s">
        <v>33</v>
      </c>
      <c r="AC29" s="35" t="s">
        <v>33</v>
      </c>
      <c r="AD29" s="35" t="s">
        <v>33</v>
      </c>
      <c r="AE29" s="35" t="s">
        <v>33</v>
      </c>
      <c r="AF29" s="35" t="s">
        <v>33</v>
      </c>
      <c r="AG29" s="35"/>
      <c r="AH29" s="35"/>
      <c r="AI29" s="35"/>
      <c r="AJ29" s="35"/>
      <c r="AK29" s="35"/>
      <c r="AL29" s="35"/>
      <c r="AM29" s="37">
        <f t="shared" si="1"/>
        <v>27</v>
      </c>
      <c r="AN29" s="37">
        <f t="shared" si="2"/>
        <v>1</v>
      </c>
      <c r="AO29" s="37">
        <f t="shared" si="3"/>
        <v>0</v>
      </c>
      <c r="AP29" s="37">
        <f t="shared" si="4"/>
        <v>27</v>
      </c>
      <c r="AQ29" s="38">
        <f t="shared" si="5"/>
        <v>28</v>
      </c>
      <c r="AR29" s="39">
        <f t="shared" si="6"/>
        <v>96.42857143</v>
      </c>
      <c r="AS29" s="1"/>
      <c r="AT29" s="1"/>
    </row>
    <row r="30">
      <c r="A30" s="31">
        <v>23.0</v>
      </c>
      <c r="B30" s="32" t="s">
        <v>30</v>
      </c>
      <c r="C30" s="40" t="s">
        <v>77</v>
      </c>
      <c r="D30" s="40" t="s">
        <v>78</v>
      </c>
      <c r="E30" s="35" t="s">
        <v>33</v>
      </c>
      <c r="F30" s="35" t="s">
        <v>33</v>
      </c>
      <c r="G30" s="35" t="s">
        <v>33</v>
      </c>
      <c r="H30" s="35" t="s">
        <v>33</v>
      </c>
      <c r="I30" s="35" t="s">
        <v>33</v>
      </c>
      <c r="J30" s="35" t="s">
        <v>36</v>
      </c>
      <c r="K30" s="35" t="s">
        <v>33</v>
      </c>
      <c r="L30" s="35" t="s">
        <v>33</v>
      </c>
      <c r="M30" s="35" t="s">
        <v>33</v>
      </c>
      <c r="N30" s="35" t="s">
        <v>33</v>
      </c>
      <c r="O30" s="35" t="s">
        <v>33</v>
      </c>
      <c r="P30" s="35" t="s">
        <v>33</v>
      </c>
      <c r="Q30" s="35" t="s">
        <v>33</v>
      </c>
      <c r="R30" s="35" t="s">
        <v>33</v>
      </c>
      <c r="S30" s="35" t="s">
        <v>33</v>
      </c>
      <c r="T30" s="35" t="s">
        <v>33</v>
      </c>
      <c r="U30" s="35" t="s">
        <v>33</v>
      </c>
      <c r="V30" s="35" t="s">
        <v>33</v>
      </c>
      <c r="W30" s="35" t="s">
        <v>33</v>
      </c>
      <c r="X30" s="35" t="s">
        <v>33</v>
      </c>
      <c r="Y30" s="35" t="s">
        <v>33</v>
      </c>
      <c r="Z30" s="35" t="s">
        <v>33</v>
      </c>
      <c r="AA30" s="35" t="s">
        <v>33</v>
      </c>
      <c r="AB30" s="35" t="s">
        <v>33</v>
      </c>
      <c r="AC30" s="35" t="s">
        <v>33</v>
      </c>
      <c r="AD30" s="35" t="s">
        <v>33</v>
      </c>
      <c r="AE30" s="35" t="s">
        <v>33</v>
      </c>
      <c r="AF30" s="35" t="s">
        <v>33</v>
      </c>
      <c r="AG30" s="35"/>
      <c r="AH30" s="35"/>
      <c r="AI30" s="35"/>
      <c r="AJ30" s="35"/>
      <c r="AK30" s="35"/>
      <c r="AL30" s="35"/>
      <c r="AM30" s="37">
        <f t="shared" si="1"/>
        <v>27</v>
      </c>
      <c r="AN30" s="37">
        <f t="shared" si="2"/>
        <v>1</v>
      </c>
      <c r="AO30" s="37">
        <f t="shared" si="3"/>
        <v>0</v>
      </c>
      <c r="AP30" s="37">
        <f t="shared" si="4"/>
        <v>27</v>
      </c>
      <c r="AQ30" s="38">
        <f t="shared" si="5"/>
        <v>28</v>
      </c>
      <c r="AR30" s="39">
        <f t="shared" si="6"/>
        <v>96.42857143</v>
      </c>
      <c r="AS30" s="1"/>
      <c r="AT30" s="1"/>
    </row>
    <row r="31">
      <c r="A31" s="31">
        <v>24.0</v>
      </c>
      <c r="B31" s="32" t="s">
        <v>30</v>
      </c>
      <c r="C31" s="40" t="s">
        <v>79</v>
      </c>
      <c r="D31" s="33" t="s">
        <v>80</v>
      </c>
      <c r="E31" s="35" t="s">
        <v>33</v>
      </c>
      <c r="F31" s="35" t="s">
        <v>33</v>
      </c>
      <c r="G31" s="35" t="s">
        <v>33</v>
      </c>
      <c r="H31" s="35" t="s">
        <v>33</v>
      </c>
      <c r="I31" s="35" t="s">
        <v>33</v>
      </c>
      <c r="J31" s="35" t="s">
        <v>33</v>
      </c>
      <c r="K31" s="35" t="s">
        <v>33</v>
      </c>
      <c r="L31" s="35" t="s">
        <v>33</v>
      </c>
      <c r="M31" s="35" t="s">
        <v>36</v>
      </c>
      <c r="N31" s="35" t="s">
        <v>33</v>
      </c>
      <c r="O31" s="35" t="s">
        <v>33</v>
      </c>
      <c r="P31" s="35" t="s">
        <v>33</v>
      </c>
      <c r="Q31" s="35" t="s">
        <v>33</v>
      </c>
      <c r="R31" s="35" t="s">
        <v>33</v>
      </c>
      <c r="S31" s="35" t="s">
        <v>33</v>
      </c>
      <c r="T31" s="35" t="s">
        <v>33</v>
      </c>
      <c r="U31" s="35" t="s">
        <v>33</v>
      </c>
      <c r="V31" s="35" t="s">
        <v>33</v>
      </c>
      <c r="W31" s="35" t="s">
        <v>33</v>
      </c>
      <c r="X31" s="35" t="s">
        <v>33</v>
      </c>
      <c r="Y31" s="35" t="s">
        <v>33</v>
      </c>
      <c r="Z31" s="35" t="s">
        <v>33</v>
      </c>
      <c r="AA31" s="35" t="s">
        <v>33</v>
      </c>
      <c r="AB31" s="35" t="s">
        <v>33</v>
      </c>
      <c r="AC31" s="35" t="s">
        <v>33</v>
      </c>
      <c r="AD31" s="35" t="s">
        <v>33</v>
      </c>
      <c r="AE31" s="35" t="s">
        <v>36</v>
      </c>
      <c r="AF31" s="35" t="s">
        <v>33</v>
      </c>
      <c r="AG31" s="35"/>
      <c r="AH31" s="35"/>
      <c r="AI31" s="35"/>
      <c r="AJ31" s="35"/>
      <c r="AK31" s="35"/>
      <c r="AL31" s="35"/>
      <c r="AM31" s="37">
        <f t="shared" si="1"/>
        <v>26</v>
      </c>
      <c r="AN31" s="37">
        <f t="shared" si="2"/>
        <v>2</v>
      </c>
      <c r="AO31" s="37">
        <f t="shared" si="3"/>
        <v>0</v>
      </c>
      <c r="AP31" s="37">
        <f t="shared" si="4"/>
        <v>26</v>
      </c>
      <c r="AQ31" s="38">
        <f t="shared" si="5"/>
        <v>28</v>
      </c>
      <c r="AR31" s="39">
        <f t="shared" si="6"/>
        <v>92.85714286</v>
      </c>
      <c r="AS31" s="1"/>
      <c r="AT31" s="1"/>
    </row>
    <row r="32">
      <c r="A32" s="31">
        <v>25.0</v>
      </c>
      <c r="B32" s="32" t="s">
        <v>30</v>
      </c>
      <c r="C32" s="40" t="s">
        <v>81</v>
      </c>
      <c r="D32" s="33" t="s">
        <v>82</v>
      </c>
      <c r="E32" s="35" t="s">
        <v>33</v>
      </c>
      <c r="F32" s="35" t="s">
        <v>33</v>
      </c>
      <c r="G32" s="35" t="s">
        <v>33</v>
      </c>
      <c r="H32" s="35" t="s">
        <v>33</v>
      </c>
      <c r="I32" s="35" t="s">
        <v>33</v>
      </c>
      <c r="J32" s="35" t="s">
        <v>33</v>
      </c>
      <c r="K32" s="35" t="s">
        <v>33</v>
      </c>
      <c r="L32" s="35" t="s">
        <v>33</v>
      </c>
      <c r="M32" s="35" t="s">
        <v>33</v>
      </c>
      <c r="N32" s="35" t="s">
        <v>33</v>
      </c>
      <c r="O32" s="35" t="s">
        <v>33</v>
      </c>
      <c r="P32" s="35" t="s">
        <v>33</v>
      </c>
      <c r="Q32" s="35" t="s">
        <v>33</v>
      </c>
      <c r="R32" s="35" t="s">
        <v>33</v>
      </c>
      <c r="S32" s="35" t="s">
        <v>33</v>
      </c>
      <c r="T32" s="35" t="s">
        <v>33</v>
      </c>
      <c r="U32" s="35" t="s">
        <v>33</v>
      </c>
      <c r="V32" s="35" t="s">
        <v>33</v>
      </c>
      <c r="W32" s="35" t="s">
        <v>33</v>
      </c>
      <c r="X32" s="35" t="s">
        <v>33</v>
      </c>
      <c r="Y32" s="35" t="s">
        <v>33</v>
      </c>
      <c r="Z32" s="35" t="s">
        <v>33</v>
      </c>
      <c r="AA32" s="35" t="s">
        <v>33</v>
      </c>
      <c r="AB32" s="35" t="s">
        <v>36</v>
      </c>
      <c r="AC32" s="35" t="s">
        <v>33</v>
      </c>
      <c r="AD32" s="35" t="s">
        <v>33</v>
      </c>
      <c r="AE32" s="35" t="s">
        <v>33</v>
      </c>
      <c r="AF32" s="35" t="s">
        <v>33</v>
      </c>
      <c r="AG32" s="35"/>
      <c r="AH32" s="35"/>
      <c r="AI32" s="35"/>
      <c r="AJ32" s="35"/>
      <c r="AK32" s="35"/>
      <c r="AL32" s="35"/>
      <c r="AM32" s="37">
        <f t="shared" si="1"/>
        <v>27</v>
      </c>
      <c r="AN32" s="37">
        <f t="shared" si="2"/>
        <v>1</v>
      </c>
      <c r="AO32" s="37">
        <f t="shared" si="3"/>
        <v>0</v>
      </c>
      <c r="AP32" s="37">
        <f t="shared" si="4"/>
        <v>27</v>
      </c>
      <c r="AQ32" s="38">
        <f t="shared" si="5"/>
        <v>28</v>
      </c>
      <c r="AR32" s="39">
        <f t="shared" si="6"/>
        <v>96.42857143</v>
      </c>
      <c r="AS32" s="1"/>
      <c r="AT32" s="1"/>
    </row>
    <row r="33">
      <c r="A33" s="31">
        <v>26.0</v>
      </c>
      <c r="B33" s="32" t="s">
        <v>30</v>
      </c>
      <c r="C33" s="33" t="s">
        <v>83</v>
      </c>
      <c r="D33" s="33" t="s">
        <v>84</v>
      </c>
      <c r="E33" s="35" t="s">
        <v>33</v>
      </c>
      <c r="F33" s="35" t="s">
        <v>33</v>
      </c>
      <c r="G33" s="35" t="s">
        <v>33</v>
      </c>
      <c r="H33" s="35" t="s">
        <v>33</v>
      </c>
      <c r="I33" s="35" t="s">
        <v>33</v>
      </c>
      <c r="J33" s="35" t="s">
        <v>33</v>
      </c>
      <c r="K33" s="35" t="s">
        <v>33</v>
      </c>
      <c r="L33" s="35" t="s">
        <v>33</v>
      </c>
      <c r="M33" s="35" t="s">
        <v>33</v>
      </c>
      <c r="N33" s="35" t="s">
        <v>33</v>
      </c>
      <c r="O33" s="35" t="s">
        <v>33</v>
      </c>
      <c r="P33" s="35" t="s">
        <v>33</v>
      </c>
      <c r="Q33" s="35" t="s">
        <v>33</v>
      </c>
      <c r="R33" s="35" t="s">
        <v>33</v>
      </c>
      <c r="S33" s="35" t="s">
        <v>33</v>
      </c>
      <c r="T33" s="35" t="s">
        <v>33</v>
      </c>
      <c r="U33" s="35" t="s">
        <v>36</v>
      </c>
      <c r="V33" s="35" t="s">
        <v>33</v>
      </c>
      <c r="W33" s="35" t="s">
        <v>33</v>
      </c>
      <c r="X33" s="35" t="s">
        <v>33</v>
      </c>
      <c r="Y33" s="35" t="s">
        <v>33</v>
      </c>
      <c r="Z33" s="35" t="s">
        <v>33</v>
      </c>
      <c r="AA33" s="35" t="s">
        <v>36</v>
      </c>
      <c r="AB33" s="35" t="s">
        <v>33</v>
      </c>
      <c r="AC33" s="35" t="s">
        <v>36</v>
      </c>
      <c r="AD33" s="35" t="s">
        <v>33</v>
      </c>
      <c r="AE33" s="35" t="s">
        <v>36</v>
      </c>
      <c r="AF33" s="35" t="s">
        <v>33</v>
      </c>
      <c r="AG33" s="35"/>
      <c r="AH33" s="35"/>
      <c r="AI33" s="35"/>
      <c r="AJ33" s="35"/>
      <c r="AK33" s="35"/>
      <c r="AL33" s="35"/>
      <c r="AM33" s="37">
        <f t="shared" si="1"/>
        <v>24</v>
      </c>
      <c r="AN33" s="37">
        <f t="shared" si="2"/>
        <v>4</v>
      </c>
      <c r="AO33" s="37">
        <f t="shared" si="3"/>
        <v>0</v>
      </c>
      <c r="AP33" s="37">
        <f t="shared" si="4"/>
        <v>24</v>
      </c>
      <c r="AQ33" s="38">
        <f t="shared" si="5"/>
        <v>28</v>
      </c>
      <c r="AR33" s="39">
        <f t="shared" si="6"/>
        <v>85.71428571</v>
      </c>
      <c r="AS33" s="1"/>
      <c r="AT33" s="1"/>
    </row>
    <row r="34">
      <c r="A34" s="31">
        <v>27.0</v>
      </c>
      <c r="B34" s="32" t="s">
        <v>30</v>
      </c>
      <c r="C34" s="43" t="s">
        <v>85</v>
      </c>
      <c r="D34" s="43" t="s">
        <v>86</v>
      </c>
      <c r="E34" s="35" t="s">
        <v>33</v>
      </c>
      <c r="F34" s="35" t="s">
        <v>33</v>
      </c>
      <c r="G34" s="35" t="s">
        <v>33</v>
      </c>
      <c r="H34" s="35" t="s">
        <v>33</v>
      </c>
      <c r="I34" s="35" t="s">
        <v>33</v>
      </c>
      <c r="J34" s="35" t="s">
        <v>33</v>
      </c>
      <c r="K34" s="35" t="s">
        <v>33</v>
      </c>
      <c r="L34" s="35" t="s">
        <v>33</v>
      </c>
      <c r="M34" s="35" t="s">
        <v>33</v>
      </c>
      <c r="N34" s="35" t="s">
        <v>33</v>
      </c>
      <c r="O34" s="35" t="s">
        <v>33</v>
      </c>
      <c r="P34" s="35" t="s">
        <v>33</v>
      </c>
      <c r="Q34" s="35" t="s">
        <v>33</v>
      </c>
      <c r="R34" s="35" t="s">
        <v>33</v>
      </c>
      <c r="S34" s="35" t="s">
        <v>33</v>
      </c>
      <c r="T34" s="35" t="s">
        <v>33</v>
      </c>
      <c r="U34" s="35" t="s">
        <v>33</v>
      </c>
      <c r="V34" s="35" t="s">
        <v>33</v>
      </c>
      <c r="W34" s="35" t="s">
        <v>33</v>
      </c>
      <c r="X34" s="35" t="s">
        <v>33</v>
      </c>
      <c r="Y34" s="35" t="s">
        <v>33</v>
      </c>
      <c r="Z34" s="35" t="s">
        <v>36</v>
      </c>
      <c r="AA34" s="35" t="s">
        <v>33</v>
      </c>
      <c r="AB34" s="35" t="s">
        <v>33</v>
      </c>
      <c r="AC34" s="35" t="s">
        <v>33</v>
      </c>
      <c r="AD34" s="35" t="s">
        <v>33</v>
      </c>
      <c r="AE34" s="35" t="s">
        <v>33</v>
      </c>
      <c r="AF34" s="35" t="s">
        <v>33</v>
      </c>
      <c r="AG34" s="35"/>
      <c r="AH34" s="35"/>
      <c r="AI34" s="35"/>
      <c r="AJ34" s="35"/>
      <c r="AK34" s="35"/>
      <c r="AL34" s="35"/>
      <c r="AM34" s="37">
        <f t="shared" si="1"/>
        <v>27</v>
      </c>
      <c r="AN34" s="37">
        <f t="shared" si="2"/>
        <v>1</v>
      </c>
      <c r="AO34" s="37">
        <f t="shared" si="3"/>
        <v>0</v>
      </c>
      <c r="AP34" s="37">
        <f t="shared" si="4"/>
        <v>27</v>
      </c>
      <c r="AQ34" s="38">
        <f t="shared" si="5"/>
        <v>28</v>
      </c>
      <c r="AR34" s="39">
        <f t="shared" si="6"/>
        <v>96.42857143</v>
      </c>
      <c r="AS34" s="1"/>
      <c r="AT34" s="1"/>
    </row>
    <row r="35">
      <c r="A35" s="31">
        <v>28.0</v>
      </c>
      <c r="B35" s="32" t="s">
        <v>30</v>
      </c>
      <c r="C35" s="43" t="s">
        <v>87</v>
      </c>
      <c r="D35" s="43" t="s">
        <v>88</v>
      </c>
      <c r="E35" s="35" t="s">
        <v>33</v>
      </c>
      <c r="F35" s="35" t="s">
        <v>33</v>
      </c>
      <c r="G35" s="35" t="s">
        <v>33</v>
      </c>
      <c r="H35" s="35" t="s">
        <v>33</v>
      </c>
      <c r="I35" s="35" t="s">
        <v>33</v>
      </c>
      <c r="J35" s="35" t="s">
        <v>33</v>
      </c>
      <c r="K35" s="35" t="s">
        <v>33</v>
      </c>
      <c r="L35" s="35" t="s">
        <v>36</v>
      </c>
      <c r="M35" s="35" t="s">
        <v>33</v>
      </c>
      <c r="N35" s="35" t="s">
        <v>33</v>
      </c>
      <c r="O35" s="35" t="s">
        <v>33</v>
      </c>
      <c r="P35" s="35" t="s">
        <v>33</v>
      </c>
      <c r="Q35" s="35" t="s">
        <v>36</v>
      </c>
      <c r="R35" s="35" t="s">
        <v>33</v>
      </c>
      <c r="S35" s="35" t="s">
        <v>33</v>
      </c>
      <c r="T35" s="35" t="s">
        <v>33</v>
      </c>
      <c r="U35" s="35" t="s">
        <v>33</v>
      </c>
      <c r="V35" s="35" t="s">
        <v>33</v>
      </c>
      <c r="W35" s="35" t="s">
        <v>36</v>
      </c>
      <c r="X35" s="35" t="s">
        <v>36</v>
      </c>
      <c r="Y35" s="35" t="s">
        <v>33</v>
      </c>
      <c r="Z35" s="35" t="s">
        <v>36</v>
      </c>
      <c r="AA35" s="35" t="s">
        <v>33</v>
      </c>
      <c r="AB35" s="35" t="s">
        <v>36</v>
      </c>
      <c r="AC35" s="35" t="s">
        <v>33</v>
      </c>
      <c r="AD35" s="35" t="s">
        <v>36</v>
      </c>
      <c r="AE35" s="35" t="s">
        <v>33</v>
      </c>
      <c r="AF35" s="35" t="s">
        <v>33</v>
      </c>
      <c r="AG35" s="35"/>
      <c r="AH35" s="35"/>
      <c r="AI35" s="35"/>
      <c r="AJ35" s="35"/>
      <c r="AK35" s="35"/>
      <c r="AL35" s="35"/>
      <c r="AM35" s="37">
        <f t="shared" si="1"/>
        <v>21</v>
      </c>
      <c r="AN35" s="37">
        <f t="shared" si="2"/>
        <v>7</v>
      </c>
      <c r="AO35" s="37">
        <f t="shared" si="3"/>
        <v>0</v>
      </c>
      <c r="AP35" s="37">
        <f t="shared" si="4"/>
        <v>21</v>
      </c>
      <c r="AQ35" s="38">
        <f t="shared" si="5"/>
        <v>28</v>
      </c>
      <c r="AR35" s="39">
        <f t="shared" si="6"/>
        <v>75</v>
      </c>
      <c r="AS35" s="1"/>
      <c r="AT35" s="1"/>
    </row>
    <row r="36">
      <c r="A36" s="31">
        <v>29.0</v>
      </c>
      <c r="B36" s="32" t="s">
        <v>30</v>
      </c>
      <c r="C36" s="40" t="s">
        <v>89</v>
      </c>
      <c r="D36" s="40" t="s">
        <v>90</v>
      </c>
      <c r="E36" s="35" t="s">
        <v>36</v>
      </c>
      <c r="F36" s="35" t="s">
        <v>33</v>
      </c>
      <c r="G36" s="35" t="s">
        <v>33</v>
      </c>
      <c r="H36" s="35" t="s">
        <v>33</v>
      </c>
      <c r="I36" s="35" t="s">
        <v>33</v>
      </c>
      <c r="J36" s="35" t="s">
        <v>33</v>
      </c>
      <c r="K36" s="35" t="s">
        <v>33</v>
      </c>
      <c r="L36" s="35" t="s">
        <v>33</v>
      </c>
      <c r="M36" s="35" t="s">
        <v>33</v>
      </c>
      <c r="N36" s="35" t="s">
        <v>33</v>
      </c>
      <c r="O36" s="35" t="s">
        <v>33</v>
      </c>
      <c r="P36" s="35" t="s">
        <v>33</v>
      </c>
      <c r="Q36" s="35" t="s">
        <v>33</v>
      </c>
      <c r="R36" s="35" t="s">
        <v>33</v>
      </c>
      <c r="S36" s="35" t="s">
        <v>33</v>
      </c>
      <c r="T36" s="35" t="s">
        <v>36</v>
      </c>
      <c r="U36" s="35" t="s">
        <v>33</v>
      </c>
      <c r="V36" s="35" t="s">
        <v>36</v>
      </c>
      <c r="W36" s="35" t="s">
        <v>33</v>
      </c>
      <c r="X36" s="35" t="s">
        <v>33</v>
      </c>
      <c r="Y36" s="35" t="s">
        <v>33</v>
      </c>
      <c r="Z36" s="35" t="s">
        <v>33</v>
      </c>
      <c r="AA36" s="35" t="s">
        <v>33</v>
      </c>
      <c r="AB36" s="35" t="s">
        <v>33</v>
      </c>
      <c r="AC36" s="35" t="s">
        <v>33</v>
      </c>
      <c r="AD36" s="35" t="s">
        <v>36</v>
      </c>
      <c r="AE36" s="35" t="s">
        <v>33</v>
      </c>
      <c r="AF36" s="35" t="s">
        <v>33</v>
      </c>
      <c r="AG36" s="35"/>
      <c r="AH36" s="35"/>
      <c r="AI36" s="35"/>
      <c r="AJ36" s="35"/>
      <c r="AK36" s="35"/>
      <c r="AL36" s="35"/>
      <c r="AM36" s="37">
        <f t="shared" si="1"/>
        <v>24</v>
      </c>
      <c r="AN36" s="37">
        <f t="shared" si="2"/>
        <v>4</v>
      </c>
      <c r="AO36" s="37">
        <f t="shared" si="3"/>
        <v>0</v>
      </c>
      <c r="AP36" s="37">
        <f t="shared" si="4"/>
        <v>24</v>
      </c>
      <c r="AQ36" s="38">
        <f t="shared" si="5"/>
        <v>28</v>
      </c>
      <c r="AR36" s="39">
        <f t="shared" si="6"/>
        <v>85.71428571</v>
      </c>
      <c r="AS36" s="1"/>
      <c r="AT36" s="1"/>
    </row>
    <row r="37">
      <c r="A37" s="31">
        <v>30.0</v>
      </c>
      <c r="B37" s="32" t="s">
        <v>30</v>
      </c>
      <c r="C37" s="44" t="s">
        <v>91</v>
      </c>
      <c r="D37" s="44" t="s">
        <v>92</v>
      </c>
      <c r="E37" s="35"/>
      <c r="F37" s="35"/>
      <c r="G37" s="35"/>
      <c r="H37" s="35"/>
      <c r="I37" s="35"/>
      <c r="J37" s="35"/>
      <c r="K37" s="35" t="s">
        <v>33</v>
      </c>
      <c r="L37" s="35" t="s">
        <v>33</v>
      </c>
      <c r="M37" s="35" t="s">
        <v>33</v>
      </c>
      <c r="N37" s="35" t="s">
        <v>33</v>
      </c>
      <c r="O37" s="35" t="s">
        <v>33</v>
      </c>
      <c r="P37" s="35" t="s">
        <v>36</v>
      </c>
      <c r="Q37" s="35" t="s">
        <v>33</v>
      </c>
      <c r="R37" s="35" t="s">
        <v>33</v>
      </c>
      <c r="S37" s="35" t="s">
        <v>36</v>
      </c>
      <c r="T37" s="35" t="s">
        <v>33</v>
      </c>
      <c r="U37" s="35" t="s">
        <v>33</v>
      </c>
      <c r="V37" s="35" t="s">
        <v>33</v>
      </c>
      <c r="W37" s="35" t="s">
        <v>33</v>
      </c>
      <c r="X37" s="35" t="s">
        <v>33</v>
      </c>
      <c r="Y37" s="35" t="s">
        <v>33</v>
      </c>
      <c r="Z37" s="35" t="s">
        <v>33</v>
      </c>
      <c r="AA37" s="35" t="s">
        <v>33</v>
      </c>
      <c r="AB37" s="35" t="s">
        <v>33</v>
      </c>
      <c r="AC37" s="35" t="s">
        <v>33</v>
      </c>
      <c r="AD37" s="35" t="s">
        <v>33</v>
      </c>
      <c r="AE37" s="35" t="s">
        <v>33</v>
      </c>
      <c r="AF37" s="35" t="s">
        <v>33</v>
      </c>
      <c r="AG37" s="35"/>
      <c r="AH37" s="35"/>
      <c r="AI37" s="35"/>
      <c r="AJ37" s="35"/>
      <c r="AK37" s="35"/>
      <c r="AL37" s="35"/>
      <c r="AM37" s="37">
        <f t="shared" si="1"/>
        <v>20</v>
      </c>
      <c r="AN37" s="37">
        <f t="shared" si="2"/>
        <v>2</v>
      </c>
      <c r="AO37" s="37">
        <f t="shared" si="3"/>
        <v>0</v>
      </c>
      <c r="AP37" s="37">
        <f t="shared" si="4"/>
        <v>20</v>
      </c>
      <c r="AQ37" s="38">
        <f t="shared" si="5"/>
        <v>22</v>
      </c>
      <c r="AR37" s="39">
        <f t="shared" si="6"/>
        <v>90.90909091</v>
      </c>
      <c r="AS37" s="1"/>
      <c r="AT37" s="1"/>
    </row>
    <row r="38">
      <c r="A38" s="31">
        <v>31.0</v>
      </c>
      <c r="B38" s="32" t="s">
        <v>30</v>
      </c>
      <c r="C38" s="40" t="s">
        <v>93</v>
      </c>
      <c r="D38" s="43" t="s">
        <v>94</v>
      </c>
      <c r="E38" s="45"/>
      <c r="F38" s="35"/>
      <c r="G38" s="35"/>
      <c r="H38" s="35"/>
      <c r="I38" s="35"/>
      <c r="J38" s="35"/>
      <c r="K38" s="35"/>
      <c r="L38" s="35"/>
      <c r="M38" s="35" t="s">
        <v>33</v>
      </c>
      <c r="N38" s="35" t="s">
        <v>36</v>
      </c>
      <c r="O38" s="35" t="s">
        <v>33</v>
      </c>
      <c r="P38" s="35" t="s">
        <v>36</v>
      </c>
      <c r="Q38" s="35" t="s">
        <v>33</v>
      </c>
      <c r="R38" s="35" t="s">
        <v>33</v>
      </c>
      <c r="S38" s="35" t="s">
        <v>33</v>
      </c>
      <c r="T38" s="35" t="s">
        <v>33</v>
      </c>
      <c r="U38" s="35" t="s">
        <v>33</v>
      </c>
      <c r="V38" s="35" t="s">
        <v>33</v>
      </c>
      <c r="W38" s="35" t="s">
        <v>33</v>
      </c>
      <c r="X38" s="35" t="s">
        <v>33</v>
      </c>
      <c r="Y38" s="35" t="s">
        <v>33</v>
      </c>
      <c r="Z38" s="35" t="s">
        <v>36</v>
      </c>
      <c r="AA38" s="35" t="s">
        <v>33</v>
      </c>
      <c r="AB38" s="35" t="s">
        <v>33</v>
      </c>
      <c r="AC38" s="35" t="s">
        <v>33</v>
      </c>
      <c r="AD38" s="35" t="s">
        <v>33</v>
      </c>
      <c r="AE38" s="35" t="s">
        <v>33</v>
      </c>
      <c r="AF38" s="35" t="s">
        <v>33</v>
      </c>
      <c r="AG38" s="35"/>
      <c r="AH38" s="35"/>
      <c r="AI38" s="35"/>
      <c r="AJ38" s="35"/>
      <c r="AK38" s="35"/>
      <c r="AL38" s="35"/>
      <c r="AM38" s="37">
        <f t="shared" si="1"/>
        <v>17</v>
      </c>
      <c r="AN38" s="37">
        <f t="shared" si="2"/>
        <v>3</v>
      </c>
      <c r="AO38" s="37">
        <f t="shared" si="3"/>
        <v>0</v>
      </c>
      <c r="AP38" s="37">
        <f t="shared" si="4"/>
        <v>17</v>
      </c>
      <c r="AQ38" s="38">
        <f t="shared" si="5"/>
        <v>20</v>
      </c>
      <c r="AR38" s="39">
        <f t="shared" si="6"/>
        <v>85</v>
      </c>
      <c r="AS38" s="1"/>
      <c r="AT38" s="1"/>
    </row>
    <row r="39">
      <c r="A39" s="31">
        <v>32.0</v>
      </c>
      <c r="B39" s="32" t="s">
        <v>30</v>
      </c>
      <c r="C39" s="43" t="s">
        <v>95</v>
      </c>
      <c r="D39" s="43" t="s">
        <v>96</v>
      </c>
      <c r="E39" s="35"/>
      <c r="F39" s="35"/>
      <c r="G39" s="35"/>
      <c r="H39" s="35"/>
      <c r="I39" s="35"/>
      <c r="J39" s="35"/>
      <c r="K39" s="35"/>
      <c r="L39" s="35"/>
      <c r="M39" s="35" t="s">
        <v>36</v>
      </c>
      <c r="N39" s="35" t="s">
        <v>33</v>
      </c>
      <c r="O39" s="35" t="s">
        <v>33</v>
      </c>
      <c r="P39" s="35" t="s">
        <v>33</v>
      </c>
      <c r="Q39" s="35" t="s">
        <v>36</v>
      </c>
      <c r="R39" s="35" t="s">
        <v>33</v>
      </c>
      <c r="S39" s="35" t="s">
        <v>36</v>
      </c>
      <c r="T39" s="35" t="s">
        <v>33</v>
      </c>
      <c r="U39" s="35" t="s">
        <v>33</v>
      </c>
      <c r="V39" s="35" t="s">
        <v>33</v>
      </c>
      <c r="W39" s="35" t="s">
        <v>33</v>
      </c>
      <c r="X39" s="35" t="s">
        <v>33</v>
      </c>
      <c r="Y39" s="35" t="s">
        <v>33</v>
      </c>
      <c r="Z39" s="35" t="s">
        <v>33</v>
      </c>
      <c r="AA39" s="35" t="s">
        <v>33</v>
      </c>
      <c r="AB39" s="35" t="s">
        <v>33</v>
      </c>
      <c r="AC39" s="35" t="s">
        <v>36</v>
      </c>
      <c r="AD39" s="35" t="s">
        <v>33</v>
      </c>
      <c r="AE39" s="35" t="s">
        <v>33</v>
      </c>
      <c r="AF39" s="35" t="s">
        <v>33</v>
      </c>
      <c r="AG39" s="35"/>
      <c r="AH39" s="35"/>
      <c r="AI39" s="35"/>
      <c r="AJ39" s="35"/>
      <c r="AK39" s="35"/>
      <c r="AL39" s="35"/>
      <c r="AM39" s="37">
        <f t="shared" si="1"/>
        <v>16</v>
      </c>
      <c r="AN39" s="37">
        <f t="shared" si="2"/>
        <v>4</v>
      </c>
      <c r="AO39" s="37">
        <f t="shared" si="3"/>
        <v>0</v>
      </c>
      <c r="AP39" s="37">
        <f t="shared" si="4"/>
        <v>16</v>
      </c>
      <c r="AQ39" s="38">
        <f t="shared" si="5"/>
        <v>20</v>
      </c>
      <c r="AR39" s="39">
        <f t="shared" si="6"/>
        <v>80</v>
      </c>
      <c r="AS39" s="1"/>
      <c r="AT39" s="1"/>
    </row>
    <row r="40">
      <c r="A40" s="31">
        <v>33.0</v>
      </c>
      <c r="B40" s="32" t="s">
        <v>30</v>
      </c>
      <c r="C40" s="40" t="s">
        <v>97</v>
      </c>
      <c r="D40" s="43" t="s">
        <v>98</v>
      </c>
      <c r="E40" s="35" t="s">
        <v>33</v>
      </c>
      <c r="F40" s="35" t="s">
        <v>33</v>
      </c>
      <c r="G40" s="35" t="s">
        <v>33</v>
      </c>
      <c r="H40" s="35" t="s">
        <v>33</v>
      </c>
      <c r="I40" s="35" t="s">
        <v>33</v>
      </c>
      <c r="J40" s="35" t="s">
        <v>33</v>
      </c>
      <c r="K40" s="35" t="s">
        <v>33</v>
      </c>
      <c r="L40" s="35" t="s">
        <v>33</v>
      </c>
      <c r="M40" s="35" t="s">
        <v>33</v>
      </c>
      <c r="N40" s="35" t="s">
        <v>33</v>
      </c>
      <c r="O40" s="35" t="s">
        <v>33</v>
      </c>
      <c r="P40" s="35" t="s">
        <v>33</v>
      </c>
      <c r="Q40" s="35" t="s">
        <v>33</v>
      </c>
      <c r="R40" s="35" t="s">
        <v>33</v>
      </c>
      <c r="S40" s="35" t="s">
        <v>33</v>
      </c>
      <c r="T40" s="35" t="s">
        <v>33</v>
      </c>
      <c r="U40" s="35" t="s">
        <v>33</v>
      </c>
      <c r="V40" s="35" t="s">
        <v>33</v>
      </c>
      <c r="W40" s="35" t="s">
        <v>33</v>
      </c>
      <c r="X40" s="35" t="s">
        <v>33</v>
      </c>
      <c r="Y40" s="35" t="s">
        <v>33</v>
      </c>
      <c r="Z40" s="35" t="s">
        <v>33</v>
      </c>
      <c r="AA40" s="35" t="s">
        <v>33</v>
      </c>
      <c r="AB40" s="35" t="s">
        <v>33</v>
      </c>
      <c r="AC40" s="35" t="s">
        <v>33</v>
      </c>
      <c r="AD40" s="35" t="s">
        <v>33</v>
      </c>
      <c r="AE40" s="35" t="s">
        <v>33</v>
      </c>
      <c r="AF40" s="35" t="s">
        <v>33</v>
      </c>
      <c r="AG40" s="35"/>
      <c r="AH40" s="35"/>
      <c r="AI40" s="35"/>
      <c r="AJ40" s="35"/>
      <c r="AK40" s="35"/>
      <c r="AL40" s="35"/>
      <c r="AM40" s="37">
        <f t="shared" si="1"/>
        <v>28</v>
      </c>
      <c r="AN40" s="37">
        <f t="shared" si="2"/>
        <v>0</v>
      </c>
      <c r="AO40" s="37">
        <f t="shared" si="3"/>
        <v>0</v>
      </c>
      <c r="AP40" s="37">
        <f t="shared" si="4"/>
        <v>28</v>
      </c>
      <c r="AQ40" s="38">
        <f t="shared" si="5"/>
        <v>28</v>
      </c>
      <c r="AR40" s="39">
        <f t="shared" si="6"/>
        <v>100</v>
      </c>
      <c r="AS40" s="1"/>
      <c r="AT40" s="1"/>
    </row>
    <row r="41">
      <c r="A41" s="1"/>
      <c r="B41" s="2"/>
      <c r="C41" s="2"/>
      <c r="D41" s="2"/>
      <c r="E41" s="46">
        <f t="shared" ref="E41:AR41" si="7">COUNTIF(E8:E40,"Present")</f>
        <v>22</v>
      </c>
      <c r="F41" s="46">
        <f t="shared" si="7"/>
        <v>23</v>
      </c>
      <c r="G41" s="46">
        <f t="shared" si="7"/>
        <v>25</v>
      </c>
      <c r="H41" s="46">
        <f t="shared" si="7"/>
        <v>27</v>
      </c>
      <c r="I41" s="46">
        <f t="shared" si="7"/>
        <v>26</v>
      </c>
      <c r="J41" s="46">
        <f t="shared" si="7"/>
        <v>25</v>
      </c>
      <c r="K41" s="46">
        <f t="shared" si="7"/>
        <v>28</v>
      </c>
      <c r="L41" s="46">
        <f t="shared" si="7"/>
        <v>29</v>
      </c>
      <c r="M41" s="46">
        <f t="shared" si="7"/>
        <v>30</v>
      </c>
      <c r="N41" s="46">
        <f t="shared" si="7"/>
        <v>30</v>
      </c>
      <c r="O41" s="46">
        <f t="shared" si="7"/>
        <v>30</v>
      </c>
      <c r="P41" s="46">
        <f t="shared" si="7"/>
        <v>29</v>
      </c>
      <c r="Q41" s="46">
        <f t="shared" si="7"/>
        <v>28</v>
      </c>
      <c r="R41" s="46">
        <f t="shared" si="7"/>
        <v>31</v>
      </c>
      <c r="S41" s="46">
        <f t="shared" si="7"/>
        <v>31</v>
      </c>
      <c r="T41" s="46">
        <f t="shared" si="7"/>
        <v>31</v>
      </c>
      <c r="U41" s="46">
        <f t="shared" si="7"/>
        <v>26</v>
      </c>
      <c r="V41" s="46">
        <f t="shared" si="7"/>
        <v>30</v>
      </c>
      <c r="W41" s="46">
        <f t="shared" si="7"/>
        <v>29</v>
      </c>
      <c r="X41" s="46">
        <f t="shared" si="7"/>
        <v>30</v>
      </c>
      <c r="Y41" s="46">
        <f t="shared" si="7"/>
        <v>32</v>
      </c>
      <c r="Z41" s="46">
        <f t="shared" si="7"/>
        <v>30</v>
      </c>
      <c r="AA41" s="46">
        <f t="shared" si="7"/>
        <v>31</v>
      </c>
      <c r="AB41" s="46">
        <f t="shared" si="7"/>
        <v>28</v>
      </c>
      <c r="AC41" s="46">
        <f t="shared" si="7"/>
        <v>30</v>
      </c>
      <c r="AD41" s="46">
        <f t="shared" si="7"/>
        <v>31</v>
      </c>
      <c r="AE41" s="46">
        <f t="shared" si="7"/>
        <v>26</v>
      </c>
      <c r="AF41" s="46">
        <f t="shared" si="7"/>
        <v>29</v>
      </c>
      <c r="AG41" s="46">
        <f t="shared" si="7"/>
        <v>0</v>
      </c>
      <c r="AH41" s="46">
        <f t="shared" si="7"/>
        <v>0</v>
      </c>
      <c r="AI41" s="46">
        <f t="shared" si="7"/>
        <v>0</v>
      </c>
      <c r="AJ41" s="46">
        <f t="shared" si="7"/>
        <v>0</v>
      </c>
      <c r="AK41" s="46">
        <f t="shared" si="7"/>
        <v>0</v>
      </c>
      <c r="AL41" s="46">
        <f t="shared" si="7"/>
        <v>0</v>
      </c>
      <c r="AM41" s="46">
        <f t="shared" si="7"/>
        <v>0</v>
      </c>
      <c r="AN41" s="46">
        <f t="shared" si="7"/>
        <v>0</v>
      </c>
      <c r="AO41" s="46">
        <f t="shared" si="7"/>
        <v>0</v>
      </c>
      <c r="AP41" s="46">
        <f t="shared" si="7"/>
        <v>0</v>
      </c>
      <c r="AQ41" s="46">
        <f t="shared" si="7"/>
        <v>0</v>
      </c>
      <c r="AR41" s="46">
        <f t="shared" si="7"/>
        <v>0</v>
      </c>
      <c r="AS41" s="2"/>
      <c r="AT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4"/>
      <c r="AS42" s="2"/>
      <c r="AT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1"/>
      <c r="N43" s="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47">
        <v>46043.0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4"/>
      <c r="AS43" s="2"/>
      <c r="AT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1"/>
      <c r="L44" s="1"/>
      <c r="M44" s="1"/>
      <c r="N44" s="1"/>
      <c r="O44" s="1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4"/>
      <c r="AS44" s="2"/>
      <c r="AT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48"/>
      <c r="L45" s="48"/>
      <c r="M45" s="48"/>
      <c r="N45" s="48"/>
      <c r="O45" s="48"/>
      <c r="P45" s="48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4"/>
      <c r="AS45" s="2"/>
      <c r="AT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49"/>
      <c r="L46" s="49"/>
      <c r="M46" s="49"/>
      <c r="N46" s="49"/>
      <c r="O46" s="49"/>
      <c r="P46" s="49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4"/>
      <c r="AS46" s="2"/>
      <c r="AT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4"/>
      <c r="AS47" s="2"/>
      <c r="AT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4"/>
      <c r="AS48" s="2"/>
      <c r="AT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4"/>
      <c r="AS49" s="2"/>
      <c r="AT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4"/>
      <c r="AS50" s="2"/>
      <c r="AT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4"/>
      <c r="AS51" s="2"/>
      <c r="AT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4"/>
      <c r="AS52" s="2"/>
      <c r="AT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4"/>
      <c r="AS53" s="2"/>
      <c r="AT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4"/>
      <c r="AS54" s="2"/>
      <c r="AT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50"/>
      <c r="L55" s="50"/>
      <c r="M55" s="50"/>
      <c r="N55" s="50"/>
      <c r="O55" s="1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4"/>
      <c r="AS55" s="2"/>
      <c r="AT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4"/>
      <c r="AS56" s="2"/>
      <c r="AT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4"/>
      <c r="AS57" s="2"/>
      <c r="AT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4"/>
      <c r="AS58" s="2"/>
      <c r="AT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4"/>
      <c r="AS59" s="2"/>
      <c r="AT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4"/>
      <c r="AS60" s="2"/>
      <c r="AT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4"/>
      <c r="AS61" s="2"/>
      <c r="AT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4"/>
      <c r="AS62" s="2"/>
      <c r="AT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4"/>
      <c r="AS63" s="2"/>
      <c r="AT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4"/>
      <c r="AS64" s="2"/>
      <c r="AT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4"/>
      <c r="AS65" s="2"/>
      <c r="AT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4"/>
      <c r="AS66" s="2"/>
      <c r="AT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4"/>
      <c r="AS67" s="2"/>
      <c r="AT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4"/>
      <c r="AS68" s="2"/>
      <c r="AT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4"/>
      <c r="AS69" s="2"/>
      <c r="AT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4"/>
      <c r="AS70" s="2"/>
      <c r="AT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4"/>
      <c r="AS71" s="2"/>
      <c r="AT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4"/>
      <c r="AS72" s="2"/>
      <c r="AT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4"/>
      <c r="AS73" s="2"/>
      <c r="AT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4"/>
      <c r="AS74" s="2"/>
      <c r="AT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4"/>
      <c r="AS75" s="2"/>
      <c r="AT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4"/>
      <c r="AS76" s="2"/>
      <c r="AT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4"/>
      <c r="AS77" s="2"/>
      <c r="AT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1"/>
      <c r="L78" s="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4"/>
      <c r="AS78" s="2"/>
      <c r="AT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4"/>
      <c r="AS79" s="2"/>
      <c r="AT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4"/>
      <c r="AS80" s="2"/>
      <c r="AT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4"/>
      <c r="AS81" s="2"/>
      <c r="AT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4"/>
      <c r="AS82" s="2"/>
      <c r="AT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4"/>
      <c r="AS83" s="2"/>
      <c r="AT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4"/>
      <c r="AS84" s="2"/>
      <c r="AT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4"/>
      <c r="AS85" s="2"/>
      <c r="AT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4"/>
      <c r="AS86" s="2"/>
      <c r="AT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4"/>
      <c r="AS87" s="2"/>
      <c r="AT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4"/>
      <c r="AS88" s="2"/>
      <c r="AT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4"/>
      <c r="AS89" s="2"/>
      <c r="AT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4"/>
      <c r="AS90" s="2"/>
      <c r="AT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4"/>
      <c r="AS91" s="2"/>
      <c r="AT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4"/>
      <c r="AS92" s="2"/>
      <c r="AT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4"/>
      <c r="AS93" s="2"/>
      <c r="AT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4"/>
      <c r="AS94" s="2"/>
      <c r="AT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4"/>
      <c r="AS95" s="2"/>
      <c r="AT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4"/>
      <c r="AS96" s="2"/>
      <c r="AT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4"/>
      <c r="AS97" s="2"/>
      <c r="AT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4"/>
      <c r="AS98" s="2"/>
      <c r="AT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4"/>
      <c r="AS99" s="2"/>
      <c r="AT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4"/>
      <c r="AS100" s="2"/>
      <c r="AT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4"/>
      <c r="AS101" s="2"/>
      <c r="AT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4"/>
      <c r="AS102" s="2"/>
      <c r="AT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4"/>
      <c r="AS103" s="2"/>
      <c r="AT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4"/>
      <c r="AS104" s="2"/>
      <c r="AT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4"/>
      <c r="AS105" s="2"/>
      <c r="AT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4"/>
      <c r="AS106" s="2"/>
      <c r="AT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4"/>
      <c r="AS107" s="2"/>
      <c r="AT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4"/>
      <c r="AS108" s="2"/>
      <c r="AT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4"/>
      <c r="AS109" s="2"/>
      <c r="AT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4"/>
      <c r="AS110" s="2"/>
      <c r="AT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4"/>
      <c r="AS111" s="2"/>
      <c r="AT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4"/>
      <c r="AS112" s="2"/>
      <c r="AT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4"/>
      <c r="AS113" s="2"/>
      <c r="AT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4"/>
      <c r="AS114" s="2"/>
      <c r="AT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4"/>
      <c r="AS115" s="2"/>
      <c r="AT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4"/>
      <c r="AS116" s="2"/>
      <c r="AT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4"/>
      <c r="AS117" s="2"/>
      <c r="AT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4"/>
      <c r="AS118" s="2"/>
      <c r="AT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4"/>
      <c r="AS119" s="2"/>
      <c r="AT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4"/>
      <c r="AS120" s="2"/>
      <c r="AT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4"/>
      <c r="AS121" s="2"/>
      <c r="AT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4"/>
      <c r="AS122" s="2"/>
      <c r="AT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4"/>
      <c r="AS123" s="2"/>
      <c r="AT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4"/>
      <c r="AS124" s="2"/>
      <c r="AT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4"/>
      <c r="AS125" s="2"/>
      <c r="AT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4"/>
      <c r="AS126" s="2"/>
      <c r="AT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4"/>
      <c r="AS127" s="2"/>
      <c r="AT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4"/>
      <c r="AS128" s="2"/>
      <c r="AT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4"/>
      <c r="AS129" s="2"/>
      <c r="AT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4"/>
      <c r="AS130" s="2"/>
      <c r="AT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4"/>
      <c r="AS131" s="2"/>
      <c r="AT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4"/>
      <c r="AS132" s="2"/>
      <c r="AT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4"/>
      <c r="AS133" s="2"/>
      <c r="AT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4"/>
      <c r="AS134" s="2"/>
      <c r="AT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4"/>
      <c r="AS135" s="2"/>
      <c r="AT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4"/>
      <c r="AS136" s="2"/>
      <c r="AT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4"/>
      <c r="AS137" s="2"/>
      <c r="AT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4"/>
      <c r="AS138" s="2"/>
      <c r="AT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4"/>
      <c r="AS139" s="2"/>
      <c r="AT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4"/>
      <c r="AS140" s="2"/>
      <c r="AT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4"/>
      <c r="AS141" s="2"/>
      <c r="AT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4"/>
      <c r="AS142" s="2"/>
      <c r="AT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4"/>
      <c r="AS143" s="2"/>
      <c r="AT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4"/>
      <c r="AS144" s="2"/>
      <c r="AT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4"/>
      <c r="AS145" s="2"/>
      <c r="AT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4"/>
      <c r="AS146" s="2"/>
      <c r="AT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4"/>
      <c r="AS147" s="2"/>
      <c r="AT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4"/>
      <c r="AS148" s="2"/>
      <c r="AT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4"/>
      <c r="AS149" s="2"/>
      <c r="AT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4"/>
      <c r="AS150" s="2"/>
      <c r="AT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4"/>
      <c r="AS151" s="2"/>
      <c r="AT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4"/>
      <c r="AS152" s="2"/>
      <c r="AT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4"/>
      <c r="AS153" s="2"/>
      <c r="AT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4"/>
      <c r="AS154" s="2"/>
      <c r="AT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4"/>
      <c r="AS155" s="2"/>
      <c r="AT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4"/>
      <c r="AS156" s="2"/>
      <c r="AT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4"/>
      <c r="AS157" s="2"/>
      <c r="AT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4"/>
      <c r="AS158" s="2"/>
      <c r="AT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4"/>
      <c r="AS159" s="2"/>
      <c r="AT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4"/>
      <c r="AS160" s="2"/>
      <c r="AT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4"/>
      <c r="AS161" s="2"/>
      <c r="AT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4"/>
      <c r="AS162" s="2"/>
      <c r="AT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4"/>
      <c r="AS163" s="2"/>
      <c r="AT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4"/>
      <c r="AS164" s="2"/>
      <c r="AT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4"/>
      <c r="AS165" s="2"/>
      <c r="AT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4"/>
      <c r="AS166" s="2"/>
      <c r="AT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4"/>
      <c r="AS167" s="2"/>
      <c r="AT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4"/>
      <c r="AS168" s="2"/>
      <c r="AT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4"/>
      <c r="AS169" s="2"/>
      <c r="AT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4"/>
      <c r="AS170" s="2"/>
      <c r="AT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4"/>
      <c r="AS171" s="2"/>
      <c r="AT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4"/>
      <c r="AS172" s="2"/>
      <c r="AT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4"/>
      <c r="AS173" s="2"/>
      <c r="AT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4"/>
      <c r="AS174" s="2"/>
      <c r="AT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4"/>
      <c r="AS175" s="2"/>
      <c r="AT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4"/>
      <c r="AS176" s="2"/>
      <c r="AT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4"/>
      <c r="AS177" s="2"/>
      <c r="AT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4"/>
      <c r="AS178" s="2"/>
      <c r="AT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4"/>
      <c r="AS179" s="2"/>
      <c r="AT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4"/>
      <c r="AS180" s="2"/>
      <c r="AT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4"/>
      <c r="AS181" s="2"/>
      <c r="AT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4"/>
      <c r="AS182" s="2"/>
      <c r="AT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4"/>
      <c r="AS183" s="2"/>
      <c r="AT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4"/>
      <c r="AS184" s="2"/>
      <c r="AT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4"/>
      <c r="AS185" s="2"/>
      <c r="AT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4"/>
      <c r="AS186" s="2"/>
      <c r="AT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4"/>
      <c r="AS187" s="2"/>
      <c r="AT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4"/>
      <c r="AS188" s="2"/>
      <c r="AT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4"/>
      <c r="AS189" s="2"/>
      <c r="AT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4"/>
      <c r="AS190" s="2"/>
      <c r="AT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4"/>
      <c r="AS191" s="2"/>
      <c r="AT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4"/>
      <c r="AS192" s="2"/>
      <c r="AT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4"/>
      <c r="AS193" s="2"/>
      <c r="AT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4"/>
      <c r="AS194" s="2"/>
      <c r="AT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4"/>
      <c r="AS195" s="2"/>
      <c r="AT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4"/>
      <c r="AS196" s="2"/>
      <c r="AT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4"/>
      <c r="AS197" s="2"/>
      <c r="AT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4"/>
      <c r="AS198" s="2"/>
      <c r="AT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4"/>
      <c r="AS199" s="2"/>
      <c r="AT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4"/>
      <c r="AS200" s="2"/>
      <c r="AT200" s="2"/>
    </row>
    <row r="20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4"/>
      <c r="AS201" s="2"/>
      <c r="AT201" s="2"/>
    </row>
    <row r="20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4"/>
      <c r="AS202" s="2"/>
      <c r="AT202" s="2"/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4"/>
      <c r="AS203" s="2"/>
      <c r="AT203" s="2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4"/>
      <c r="AS204" s="2"/>
      <c r="AT204" s="2"/>
    </row>
    <row r="20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4"/>
      <c r="AS205" s="2"/>
      <c r="AT205" s="2"/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4"/>
      <c r="AS206" s="2"/>
      <c r="AT206" s="2"/>
    </row>
    <row r="207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4"/>
      <c r="AS207" s="2"/>
      <c r="AT207" s="2"/>
    </row>
    <row r="20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4"/>
      <c r="AS208" s="2"/>
      <c r="AT208" s="2"/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4"/>
      <c r="AS209" s="2"/>
      <c r="AT209" s="2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4"/>
      <c r="AS210" s="2"/>
      <c r="AT210" s="2"/>
    </row>
    <row r="21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4"/>
      <c r="AS211" s="2"/>
      <c r="AT211" s="2"/>
    </row>
    <row r="21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4"/>
      <c r="AS212" s="2"/>
      <c r="AT212" s="2"/>
    </row>
    <row r="21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4"/>
      <c r="AS213" s="2"/>
      <c r="AT213" s="2"/>
    </row>
    <row r="214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4"/>
      <c r="AS214" s="2"/>
      <c r="AT214" s="2"/>
    </row>
    <row r="2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4"/>
      <c r="AS215" s="2"/>
      <c r="AT215" s="2"/>
    </row>
    <row r="2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4"/>
      <c r="AS216" s="2"/>
      <c r="AT216" s="2"/>
    </row>
    <row r="217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4"/>
      <c r="AS217" s="2"/>
      <c r="AT217" s="2"/>
    </row>
    <row r="21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4"/>
      <c r="AS218" s="2"/>
      <c r="AT218" s="2"/>
    </row>
    <row r="219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4"/>
      <c r="AS219" s="2"/>
      <c r="AT219" s="2"/>
    </row>
    <row r="220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4"/>
      <c r="AS220" s="2"/>
      <c r="AT220" s="2"/>
    </row>
    <row r="22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4"/>
      <c r="AS221" s="2"/>
      <c r="AT221" s="2"/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4"/>
      <c r="AS222" s="2"/>
      <c r="AT222" s="2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4"/>
      <c r="AS223" s="2"/>
      <c r="AT223" s="2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4"/>
      <c r="AS224" s="2"/>
      <c r="AT224" s="2"/>
    </row>
    <row r="2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4"/>
      <c r="AS225" s="2"/>
      <c r="AT225" s="2"/>
    </row>
    <row r="2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4"/>
      <c r="AS226" s="2"/>
      <c r="AT226" s="2"/>
    </row>
    <row r="227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4"/>
      <c r="AS227" s="2"/>
      <c r="AT227" s="2"/>
    </row>
    <row r="2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4"/>
      <c r="AS228" s="2"/>
      <c r="AT228" s="2"/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4"/>
      <c r="AS229" s="2"/>
      <c r="AT229" s="2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4"/>
      <c r="AS230" s="2"/>
      <c r="AT230" s="2"/>
    </row>
    <row r="23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4"/>
      <c r="AS231" s="2"/>
      <c r="AT231" s="2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4"/>
      <c r="AS232" s="2"/>
      <c r="AT232" s="2"/>
    </row>
    <row r="23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4"/>
      <c r="AS233" s="2"/>
      <c r="AT233" s="2"/>
    </row>
    <row r="234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4"/>
      <c r="AS234" s="2"/>
      <c r="AT234" s="2"/>
    </row>
    <row r="2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4"/>
      <c r="AS235" s="2"/>
      <c r="AT235" s="2"/>
    </row>
    <row r="23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4"/>
      <c r="AS236" s="2"/>
      <c r="AT236" s="2"/>
    </row>
    <row r="237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4"/>
      <c r="AS237" s="2"/>
      <c r="AT237" s="2"/>
    </row>
    <row r="238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4"/>
      <c r="AS238" s="2"/>
      <c r="AT238" s="2"/>
    </row>
    <row r="239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4"/>
      <c r="AS239" s="2"/>
      <c r="AT239" s="2"/>
    </row>
    <row r="240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4"/>
      <c r="AS240" s="2"/>
      <c r="AT240" s="2"/>
    </row>
    <row r="24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4"/>
      <c r="AS241" s="2"/>
      <c r="AT241" s="2"/>
    </row>
    <row r="24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4"/>
      <c r="AS242" s="2"/>
      <c r="AT242" s="2"/>
    </row>
    <row r="24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4"/>
      <c r="AS243" s="2"/>
      <c r="AT243" s="2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4"/>
      <c r="AS244" s="2"/>
      <c r="AT244" s="2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4"/>
      <c r="AS245" s="2"/>
      <c r="AT245" s="2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4"/>
      <c r="AS246" s="2"/>
      <c r="AT246" s="2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4"/>
      <c r="AS247" s="2"/>
      <c r="AT247" s="2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4"/>
      <c r="AS248" s="2"/>
      <c r="AT248" s="2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4"/>
      <c r="AS249" s="2"/>
      <c r="AT249" s="2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4"/>
      <c r="AS250" s="2"/>
      <c r="AT250" s="2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4"/>
      <c r="AS251" s="2"/>
      <c r="AT251" s="2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4"/>
      <c r="AS252" s="2"/>
      <c r="AT252" s="2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4"/>
      <c r="AS253" s="2"/>
      <c r="AT253" s="2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4"/>
      <c r="AS254" s="2"/>
      <c r="AT254" s="2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4"/>
      <c r="AS255" s="2"/>
      <c r="AT255" s="2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4"/>
      <c r="AS256" s="2"/>
      <c r="AT256" s="2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4"/>
      <c r="AS257" s="2"/>
      <c r="AT257" s="2"/>
    </row>
    <row r="25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4"/>
      <c r="AS258" s="2"/>
      <c r="AT258" s="2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4"/>
      <c r="AS259" s="2"/>
      <c r="AT259" s="2"/>
    </row>
    <row r="260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4"/>
      <c r="AS260" s="2"/>
      <c r="AT260" s="2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4"/>
      <c r="AS261" s="2"/>
      <c r="AT261" s="2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4"/>
      <c r="AS262" s="2"/>
      <c r="AT262" s="2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4"/>
      <c r="AS263" s="2"/>
      <c r="AT263" s="2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4"/>
      <c r="AS264" s="2"/>
      <c r="AT264" s="2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4"/>
      <c r="AS265" s="2"/>
      <c r="AT265" s="2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4"/>
      <c r="AS266" s="2"/>
      <c r="AT266" s="2"/>
    </row>
    <row r="267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4"/>
      <c r="AS267" s="2"/>
      <c r="AT267" s="2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4"/>
      <c r="AS268" s="2"/>
      <c r="AT268" s="2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4"/>
      <c r="AS269" s="2"/>
      <c r="AT269" s="2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4"/>
      <c r="AS270" s="2"/>
      <c r="AT270" s="2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4"/>
      <c r="AS271" s="2"/>
      <c r="AT271" s="2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4"/>
      <c r="AS272" s="2"/>
      <c r="AT272" s="2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4"/>
      <c r="AS273" s="2"/>
      <c r="AT273" s="2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4"/>
      <c r="AS274" s="2"/>
      <c r="AT274" s="2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4"/>
      <c r="AS275" s="2"/>
      <c r="AT275" s="2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4"/>
      <c r="AS276" s="2"/>
      <c r="AT276" s="2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4"/>
      <c r="AS277" s="2"/>
      <c r="AT277" s="2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4"/>
      <c r="AS278" s="2"/>
      <c r="AT278" s="2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4"/>
      <c r="AS279" s="2"/>
      <c r="AT279" s="2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4"/>
      <c r="AS280" s="2"/>
      <c r="AT280" s="2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4"/>
      <c r="AS281" s="2"/>
      <c r="AT281" s="2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4"/>
      <c r="AS282" s="2"/>
      <c r="AT282" s="2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4"/>
      <c r="AS283" s="2"/>
      <c r="AT283" s="2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4"/>
      <c r="AS284" s="2"/>
      <c r="AT284" s="2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4"/>
      <c r="AS285" s="2"/>
      <c r="AT285" s="2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4"/>
      <c r="AS286" s="2"/>
      <c r="AT286" s="2"/>
    </row>
    <row r="287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4"/>
      <c r="AS287" s="2"/>
      <c r="AT287" s="2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4"/>
      <c r="AS288" s="2"/>
      <c r="AT288" s="2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4"/>
      <c r="AS289" s="2"/>
      <c r="AT289" s="2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4"/>
      <c r="AS290" s="2"/>
      <c r="AT290" s="2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4"/>
      <c r="AS291" s="2"/>
      <c r="AT291" s="2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4"/>
      <c r="AS292" s="2"/>
      <c r="AT292" s="2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4"/>
      <c r="AS293" s="2"/>
      <c r="AT293" s="2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4"/>
      <c r="AS294" s="2"/>
      <c r="AT294" s="2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4"/>
      <c r="AS295" s="2"/>
      <c r="AT295" s="2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4"/>
      <c r="AS296" s="2"/>
      <c r="AT296" s="2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4"/>
      <c r="AS297" s="2"/>
      <c r="AT297" s="2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4"/>
      <c r="AS298" s="2"/>
      <c r="AT298" s="2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4"/>
      <c r="AS299" s="2"/>
      <c r="AT299" s="2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4"/>
      <c r="AS300" s="2"/>
      <c r="AT300" s="2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4"/>
      <c r="AS301" s="2"/>
      <c r="AT301" s="2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4"/>
      <c r="AS302" s="2"/>
      <c r="AT302" s="2"/>
    </row>
    <row r="30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4"/>
      <c r="AS303" s="2"/>
      <c r="AT303" s="2"/>
    </row>
    <row r="304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4"/>
      <c r="AS304" s="2"/>
      <c r="AT304" s="2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4"/>
      <c r="AS305" s="2"/>
      <c r="AT305" s="2"/>
    </row>
    <row r="30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4"/>
      <c r="AS306" s="2"/>
      <c r="AT306" s="2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4"/>
      <c r="AS307" s="2"/>
      <c r="AT307" s="2"/>
    </row>
    <row r="308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4"/>
      <c r="AS308" s="2"/>
      <c r="AT308" s="2"/>
    </row>
    <row r="309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4"/>
      <c r="AS309" s="2"/>
      <c r="AT309" s="2"/>
    </row>
    <row r="310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4"/>
      <c r="AS310" s="2"/>
      <c r="AT310" s="2"/>
    </row>
    <row r="31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4"/>
      <c r="AS311" s="2"/>
      <c r="AT311" s="2"/>
    </row>
    <row r="31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4"/>
      <c r="AS312" s="2"/>
      <c r="AT312" s="2"/>
    </row>
    <row r="31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4"/>
      <c r="AS313" s="2"/>
      <c r="AT313" s="2"/>
    </row>
    <row r="314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4"/>
      <c r="AS314" s="2"/>
      <c r="AT314" s="2"/>
    </row>
    <row r="3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4"/>
      <c r="AS315" s="2"/>
      <c r="AT315" s="2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4"/>
      <c r="AS316" s="2"/>
      <c r="AT316" s="2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4"/>
      <c r="AS317" s="2"/>
      <c r="AT317" s="2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4"/>
      <c r="AS318" s="2"/>
      <c r="AT318" s="2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4"/>
      <c r="AS319" s="2"/>
      <c r="AT319" s="2"/>
    </row>
    <row r="320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4"/>
      <c r="AS320" s="2"/>
      <c r="AT320" s="2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4"/>
      <c r="AS321" s="2"/>
      <c r="AT321" s="2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4"/>
      <c r="AS322" s="2"/>
      <c r="AT322" s="2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4"/>
      <c r="AS323" s="2"/>
      <c r="AT323" s="2"/>
    </row>
    <row r="324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4"/>
      <c r="AS324" s="2"/>
      <c r="AT324" s="2"/>
    </row>
    <row r="3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4"/>
      <c r="AS325" s="2"/>
      <c r="AT325" s="2"/>
    </row>
    <row r="3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4"/>
      <c r="AS326" s="2"/>
      <c r="AT326" s="2"/>
    </row>
    <row r="327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4"/>
      <c r="AS327" s="2"/>
      <c r="AT327" s="2"/>
    </row>
    <row r="328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4"/>
      <c r="AS328" s="2"/>
      <c r="AT328" s="2"/>
    </row>
    <row r="329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4"/>
      <c r="AS329" s="2"/>
      <c r="AT329" s="2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4"/>
      <c r="AS330" s="2"/>
      <c r="AT330" s="2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4"/>
      <c r="AS331" s="2"/>
      <c r="AT331" s="2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4"/>
      <c r="AS332" s="2"/>
      <c r="AT332" s="2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4"/>
      <c r="AS333" s="2"/>
      <c r="AT333" s="2"/>
    </row>
    <row r="334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4"/>
      <c r="AS334" s="2"/>
      <c r="AT334" s="2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4"/>
      <c r="AS335" s="2"/>
      <c r="AT335" s="2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4"/>
      <c r="AS336" s="2"/>
      <c r="AT336" s="2"/>
    </row>
    <row r="337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4"/>
      <c r="AS337" s="2"/>
      <c r="AT337" s="2"/>
    </row>
    <row r="338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4"/>
      <c r="AS338" s="2"/>
      <c r="AT338" s="2"/>
    </row>
    <row r="339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4"/>
      <c r="AS339" s="2"/>
      <c r="AT339" s="2"/>
    </row>
    <row r="340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4"/>
      <c r="AS340" s="2"/>
      <c r="AT340" s="2"/>
    </row>
    <row r="34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4"/>
      <c r="AS341" s="2"/>
      <c r="AT341" s="2"/>
    </row>
    <row r="34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4"/>
      <c r="AS342" s="2"/>
      <c r="AT342" s="2"/>
    </row>
    <row r="34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4"/>
      <c r="AS343" s="2"/>
      <c r="AT343" s="2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4"/>
      <c r="AS344" s="2"/>
      <c r="AT344" s="2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4"/>
      <c r="AS345" s="2"/>
      <c r="AT345" s="2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4"/>
      <c r="AS346" s="2"/>
      <c r="AT346" s="2"/>
    </row>
    <row r="347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4"/>
      <c r="AS347" s="2"/>
      <c r="AT347" s="2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4"/>
      <c r="AS348" s="2"/>
      <c r="AT348" s="2"/>
    </row>
    <row r="349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4"/>
      <c r="AS349" s="2"/>
      <c r="AT349" s="2"/>
    </row>
    <row r="350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4"/>
      <c r="AS350" s="2"/>
      <c r="AT350" s="2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4"/>
      <c r="AS351" s="2"/>
      <c r="AT351" s="2"/>
    </row>
    <row r="35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4"/>
      <c r="AS352" s="2"/>
      <c r="AT352" s="2"/>
    </row>
    <row r="35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4"/>
      <c r="AS353" s="2"/>
      <c r="AT353" s="2"/>
    </row>
    <row r="354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4"/>
      <c r="AS354" s="2"/>
      <c r="AT354" s="2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4"/>
      <c r="AS355" s="2"/>
      <c r="AT355" s="2"/>
    </row>
    <row r="35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4"/>
      <c r="AS356" s="2"/>
      <c r="AT356" s="2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4"/>
      <c r="AS357" s="2"/>
      <c r="AT357" s="2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4"/>
      <c r="AS358" s="2"/>
      <c r="AT358" s="2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4"/>
      <c r="AS359" s="2"/>
      <c r="AT359" s="2"/>
    </row>
    <row r="360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4"/>
      <c r="AS360" s="2"/>
      <c r="AT360" s="2"/>
    </row>
    <row r="36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4"/>
      <c r="AS361" s="2"/>
      <c r="AT361" s="2"/>
    </row>
    <row r="36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4"/>
      <c r="AS362" s="2"/>
      <c r="AT362" s="2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4"/>
      <c r="AS363" s="2"/>
      <c r="AT363" s="2"/>
    </row>
    <row r="364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4"/>
      <c r="AS364" s="2"/>
      <c r="AT364" s="2"/>
    </row>
    <row r="36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4"/>
      <c r="AS365" s="2"/>
      <c r="AT365" s="2"/>
    </row>
    <row r="36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4"/>
      <c r="AS366" s="2"/>
      <c r="AT366" s="2"/>
    </row>
    <row r="367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4"/>
      <c r="AS367" s="2"/>
      <c r="AT367" s="2"/>
    </row>
    <row r="368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4"/>
      <c r="AS368" s="2"/>
      <c r="AT368" s="2"/>
    </row>
    <row r="369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4"/>
      <c r="AS369" s="2"/>
      <c r="AT369" s="2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4"/>
      <c r="AS370" s="2"/>
      <c r="AT370" s="2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4"/>
      <c r="AS371" s="2"/>
      <c r="AT371" s="2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4"/>
      <c r="AS372" s="2"/>
      <c r="AT372" s="2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4"/>
      <c r="AS373" s="2"/>
      <c r="AT373" s="2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4"/>
      <c r="AS374" s="2"/>
      <c r="AT374" s="2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4"/>
      <c r="AS375" s="2"/>
      <c r="AT375" s="2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4"/>
      <c r="AS376" s="2"/>
      <c r="AT376" s="2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4"/>
      <c r="AS377" s="2"/>
      <c r="AT377" s="2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4"/>
      <c r="AS378" s="2"/>
      <c r="AT378" s="2"/>
    </row>
    <row r="379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4"/>
      <c r="AS379" s="2"/>
      <c r="AT379" s="2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4"/>
      <c r="AS380" s="2"/>
      <c r="AT380" s="2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4"/>
      <c r="AS381" s="2"/>
      <c r="AT381" s="2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4"/>
      <c r="AS382" s="2"/>
      <c r="AT382" s="2"/>
    </row>
    <row r="38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4"/>
      <c r="AS383" s="2"/>
      <c r="AT383" s="2"/>
    </row>
    <row r="384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4"/>
      <c r="AS384" s="2"/>
      <c r="AT384" s="2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4"/>
      <c r="AS385" s="2"/>
      <c r="AT385" s="2"/>
    </row>
    <row r="38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4"/>
      <c r="AS386" s="2"/>
      <c r="AT386" s="2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4"/>
      <c r="AS387" s="2"/>
      <c r="AT387" s="2"/>
    </row>
    <row r="388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4"/>
      <c r="AS388" s="2"/>
      <c r="AT388" s="2"/>
    </row>
    <row r="389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4"/>
      <c r="AS389" s="2"/>
      <c r="AT389" s="2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4"/>
      <c r="AS390" s="2"/>
      <c r="AT390" s="2"/>
    </row>
    <row r="39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4"/>
      <c r="AS391" s="2"/>
      <c r="AT391" s="2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4"/>
      <c r="AS392" s="2"/>
      <c r="AT392" s="2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4"/>
      <c r="AS393" s="2"/>
      <c r="AT393" s="2"/>
    </row>
    <row r="394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4"/>
      <c r="AS394" s="2"/>
      <c r="AT394" s="2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4"/>
      <c r="AS395" s="2"/>
      <c r="AT395" s="2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4"/>
      <c r="AS396" s="2"/>
      <c r="AT396" s="2"/>
    </row>
    <row r="397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4"/>
      <c r="AS397" s="2"/>
      <c r="AT397" s="2"/>
    </row>
    <row r="398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4"/>
      <c r="AS398" s="2"/>
      <c r="AT398" s="2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4"/>
      <c r="AS399" s="2"/>
      <c r="AT399" s="2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4"/>
      <c r="AS400" s="2"/>
      <c r="AT400" s="2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4"/>
      <c r="AS401" s="2"/>
      <c r="AT401" s="2"/>
    </row>
    <row r="40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4"/>
      <c r="AS402" s="2"/>
      <c r="AT402" s="2"/>
    </row>
    <row r="40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4"/>
      <c r="AS403" s="2"/>
      <c r="AT403" s="2"/>
    </row>
    <row r="404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4"/>
      <c r="AS404" s="2"/>
      <c r="AT404" s="2"/>
    </row>
    <row r="40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4"/>
      <c r="AS405" s="2"/>
      <c r="AT405" s="2"/>
    </row>
    <row r="40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4"/>
      <c r="AS406" s="2"/>
      <c r="AT406" s="2"/>
    </row>
    <row r="407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4"/>
      <c r="AS407" s="2"/>
      <c r="AT407" s="2"/>
    </row>
    <row r="408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4"/>
      <c r="AS408" s="2"/>
      <c r="AT408" s="2"/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4"/>
      <c r="AS409" s="2"/>
      <c r="AT409" s="2"/>
    </row>
    <row r="410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4"/>
      <c r="AS410" s="2"/>
      <c r="AT410" s="2"/>
    </row>
    <row r="41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4"/>
      <c r="AS411" s="2"/>
      <c r="AT411" s="2"/>
    </row>
    <row r="41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4"/>
      <c r="AS412" s="2"/>
      <c r="AT412" s="2"/>
    </row>
    <row r="41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4"/>
      <c r="AS413" s="2"/>
      <c r="AT413" s="2"/>
    </row>
    <row r="414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4"/>
      <c r="AS414" s="2"/>
      <c r="AT414" s="2"/>
    </row>
    <row r="4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4"/>
      <c r="AS415" s="2"/>
      <c r="AT415" s="2"/>
    </row>
    <row r="41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4"/>
      <c r="AS416" s="2"/>
      <c r="AT416" s="2"/>
    </row>
    <row r="417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4"/>
      <c r="AS417" s="2"/>
      <c r="AT417" s="2"/>
    </row>
    <row r="418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4"/>
      <c r="AS418" s="2"/>
      <c r="AT418" s="2"/>
    </row>
    <row r="419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4"/>
      <c r="AS419" s="2"/>
      <c r="AT419" s="2"/>
    </row>
    <row r="420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4"/>
      <c r="AS420" s="2"/>
      <c r="AT420" s="2"/>
    </row>
    <row r="42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4"/>
      <c r="AS421" s="2"/>
      <c r="AT421" s="2"/>
    </row>
    <row r="42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4"/>
      <c r="AS422" s="2"/>
      <c r="AT422" s="2"/>
    </row>
    <row r="42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4"/>
      <c r="AS423" s="2"/>
      <c r="AT423" s="2"/>
    </row>
    <row r="424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4"/>
      <c r="AS424" s="2"/>
      <c r="AT424" s="2"/>
    </row>
    <row r="4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4"/>
      <c r="AS425" s="2"/>
      <c r="AT425" s="2"/>
    </row>
    <row r="4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4"/>
      <c r="AS426" s="2"/>
      <c r="AT426" s="2"/>
    </row>
    <row r="427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4"/>
      <c r="AS427" s="2"/>
      <c r="AT427" s="2"/>
    </row>
    <row r="428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4"/>
      <c r="AS428" s="2"/>
      <c r="AT428" s="2"/>
    </row>
    <row r="429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4"/>
      <c r="AS429" s="2"/>
      <c r="AT429" s="2"/>
    </row>
    <row r="430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4"/>
      <c r="AS430" s="2"/>
      <c r="AT430" s="2"/>
    </row>
    <row r="43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4"/>
      <c r="AS431" s="2"/>
      <c r="AT431" s="2"/>
    </row>
    <row r="43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4"/>
      <c r="AS432" s="2"/>
      <c r="AT432" s="2"/>
    </row>
    <row r="43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4"/>
      <c r="AS433" s="2"/>
      <c r="AT433" s="2"/>
    </row>
    <row r="434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4"/>
      <c r="AS434" s="2"/>
      <c r="AT434" s="2"/>
    </row>
    <row r="4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4"/>
      <c r="AS435" s="2"/>
      <c r="AT435" s="2"/>
    </row>
    <row r="43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4"/>
      <c r="AS436" s="2"/>
      <c r="AT436" s="2"/>
    </row>
    <row r="437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4"/>
      <c r="AS437" s="2"/>
      <c r="AT437" s="2"/>
    </row>
    <row r="438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4"/>
      <c r="AS438" s="2"/>
      <c r="AT438" s="2"/>
    </row>
    <row r="439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4"/>
      <c r="AS439" s="2"/>
      <c r="AT439" s="2"/>
    </row>
    <row r="440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4"/>
      <c r="AS440" s="2"/>
      <c r="AT440" s="2"/>
    </row>
    <row r="44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4"/>
      <c r="AS441" s="2"/>
      <c r="AT441" s="2"/>
    </row>
    <row r="44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4"/>
      <c r="AS442" s="2"/>
      <c r="AT442" s="2"/>
    </row>
    <row r="44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4"/>
      <c r="AS443" s="2"/>
      <c r="AT443" s="2"/>
    </row>
    <row r="444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4"/>
      <c r="AS444" s="2"/>
      <c r="AT444" s="2"/>
    </row>
    <row r="44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4"/>
      <c r="AS445" s="2"/>
      <c r="AT445" s="2"/>
    </row>
    <row r="44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4"/>
      <c r="AS446" s="2"/>
      <c r="AT446" s="2"/>
    </row>
    <row r="447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4"/>
      <c r="AS447" s="2"/>
      <c r="AT447" s="2"/>
    </row>
    <row r="448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4"/>
      <c r="AS448" s="2"/>
      <c r="AT448" s="2"/>
    </row>
    <row r="449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4"/>
      <c r="AS449" s="2"/>
      <c r="AT449" s="2"/>
    </row>
    <row r="450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4"/>
      <c r="AS450" s="2"/>
      <c r="AT450" s="2"/>
    </row>
    <row r="45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4"/>
      <c r="AS451" s="2"/>
      <c r="AT451" s="2"/>
    </row>
    <row r="45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4"/>
      <c r="AS452" s="2"/>
      <c r="AT452" s="2"/>
    </row>
    <row r="45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4"/>
      <c r="AS453" s="2"/>
      <c r="AT453" s="2"/>
    </row>
    <row r="454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4"/>
      <c r="AS454" s="2"/>
      <c r="AT454" s="2"/>
    </row>
    <row r="45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4"/>
      <c r="AS455" s="2"/>
      <c r="AT455" s="2"/>
    </row>
    <row r="45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4"/>
      <c r="AS456" s="2"/>
      <c r="AT456" s="2"/>
    </row>
    <row r="457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4"/>
      <c r="AS457" s="2"/>
      <c r="AT457" s="2"/>
    </row>
    <row r="458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4"/>
      <c r="AS458" s="2"/>
      <c r="AT458" s="2"/>
    </row>
    <row r="459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4"/>
      <c r="AS459" s="2"/>
      <c r="AT459" s="2"/>
    </row>
    <row r="460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4"/>
      <c r="AS460" s="2"/>
      <c r="AT460" s="2"/>
    </row>
    <row r="46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4"/>
      <c r="AS461" s="2"/>
      <c r="AT461" s="2"/>
    </row>
    <row r="46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4"/>
      <c r="AS462" s="2"/>
      <c r="AT462" s="2"/>
    </row>
    <row r="46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4"/>
      <c r="AS463" s="2"/>
      <c r="AT463" s="2"/>
    </row>
    <row r="464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4"/>
      <c r="AS464" s="2"/>
      <c r="AT464" s="2"/>
    </row>
    <row r="46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4"/>
      <c r="AS465" s="2"/>
      <c r="AT465" s="2"/>
    </row>
    <row r="46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4"/>
      <c r="AS466" s="2"/>
      <c r="AT466" s="2"/>
    </row>
    <row r="467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4"/>
      <c r="AS467" s="2"/>
      <c r="AT467" s="2"/>
    </row>
    <row r="468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4"/>
      <c r="AS468" s="2"/>
      <c r="AT468" s="2"/>
    </row>
    <row r="469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4"/>
      <c r="AS469" s="2"/>
      <c r="AT469" s="2"/>
    </row>
    <row r="470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4"/>
      <c r="AS470" s="2"/>
      <c r="AT470" s="2"/>
    </row>
    <row r="47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4"/>
      <c r="AS471" s="2"/>
      <c r="AT471" s="2"/>
    </row>
    <row r="47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4"/>
      <c r="AS472" s="2"/>
      <c r="AT472" s="2"/>
    </row>
    <row r="47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4"/>
      <c r="AS473" s="2"/>
      <c r="AT473" s="2"/>
    </row>
    <row r="474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4"/>
      <c r="AS474" s="2"/>
      <c r="AT474" s="2"/>
    </row>
    <row r="4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4"/>
      <c r="AS475" s="2"/>
      <c r="AT475" s="2"/>
    </row>
    <row r="47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4"/>
      <c r="AS476" s="2"/>
      <c r="AT476" s="2"/>
    </row>
    <row r="477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4"/>
      <c r="AS477" s="2"/>
      <c r="AT477" s="2"/>
    </row>
    <row r="478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4"/>
      <c r="AS478" s="2"/>
      <c r="AT478" s="2"/>
    </row>
    <row r="479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4"/>
      <c r="AS479" s="2"/>
      <c r="AT479" s="2"/>
    </row>
    <row r="480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4"/>
      <c r="AS480" s="2"/>
      <c r="AT480" s="2"/>
    </row>
    <row r="48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4"/>
      <c r="AS481" s="2"/>
      <c r="AT481" s="2"/>
    </row>
    <row r="48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4"/>
      <c r="AS482" s="2"/>
      <c r="AT482" s="2"/>
    </row>
    <row r="48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4"/>
      <c r="AS483" s="2"/>
      <c r="AT483" s="2"/>
    </row>
    <row r="484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4"/>
      <c r="AS484" s="2"/>
      <c r="AT484" s="2"/>
    </row>
    <row r="48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4"/>
      <c r="AS485" s="2"/>
      <c r="AT485" s="2"/>
    </row>
    <row r="48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4"/>
      <c r="AS486" s="2"/>
      <c r="AT486" s="2"/>
    </row>
    <row r="487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4"/>
      <c r="AS487" s="2"/>
      <c r="AT487" s="2"/>
    </row>
    <row r="488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4"/>
      <c r="AS488" s="2"/>
      <c r="AT488" s="2"/>
    </row>
    <row r="489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4"/>
      <c r="AS489" s="2"/>
      <c r="AT489" s="2"/>
    </row>
    <row r="490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4"/>
      <c r="AS490" s="2"/>
      <c r="AT490" s="2"/>
    </row>
    <row r="49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4"/>
      <c r="AS491" s="2"/>
      <c r="AT491" s="2"/>
    </row>
    <row r="49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4"/>
      <c r="AS492" s="2"/>
      <c r="AT492" s="2"/>
    </row>
    <row r="49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4"/>
      <c r="AS493" s="2"/>
      <c r="AT493" s="2"/>
    </row>
    <row r="494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4"/>
      <c r="AS494" s="2"/>
      <c r="AT494" s="2"/>
    </row>
    <row r="49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4"/>
      <c r="AS495" s="2"/>
      <c r="AT495" s="2"/>
    </row>
    <row r="49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4"/>
      <c r="AS496" s="2"/>
      <c r="AT496" s="2"/>
    </row>
    <row r="497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4"/>
      <c r="AS497" s="2"/>
      <c r="AT497" s="2"/>
    </row>
    <row r="498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4"/>
      <c r="AS498" s="2"/>
      <c r="AT498" s="2"/>
    </row>
    <row r="499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4"/>
      <c r="AS499" s="2"/>
      <c r="AT499" s="2"/>
    </row>
    <row r="500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4"/>
      <c r="AS500" s="2"/>
      <c r="AT500" s="2"/>
    </row>
    <row r="50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4"/>
      <c r="AS501" s="2"/>
      <c r="AT501" s="2"/>
    </row>
    <row r="50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4"/>
      <c r="AS502" s="2"/>
      <c r="AT502" s="2"/>
    </row>
    <row r="50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4"/>
      <c r="AS503" s="2"/>
      <c r="AT503" s="2"/>
    </row>
    <row r="504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4"/>
      <c r="AS504" s="2"/>
      <c r="AT504" s="2"/>
    </row>
    <row r="50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4"/>
      <c r="AS505" s="2"/>
      <c r="AT505" s="2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4"/>
      <c r="AS506" s="2"/>
      <c r="AT506" s="2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4"/>
      <c r="AS507" s="2"/>
      <c r="AT507" s="2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4"/>
      <c r="AS508" s="2"/>
      <c r="AT508" s="2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4"/>
      <c r="AS509" s="2"/>
      <c r="AT509" s="2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4"/>
      <c r="AS510" s="2"/>
      <c r="AT510" s="2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4"/>
      <c r="AS511" s="2"/>
      <c r="AT511" s="2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4"/>
      <c r="AS512" s="2"/>
      <c r="AT512" s="2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4"/>
      <c r="AS513" s="2"/>
      <c r="AT513" s="2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4"/>
      <c r="AS514" s="2"/>
      <c r="AT514" s="2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4"/>
      <c r="AS515" s="2"/>
      <c r="AT515" s="2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4"/>
      <c r="AS516" s="2"/>
      <c r="AT516" s="2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4"/>
      <c r="AS517" s="2"/>
      <c r="AT517" s="2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4"/>
      <c r="AS518" s="2"/>
      <c r="AT518" s="2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4"/>
      <c r="AS519" s="2"/>
      <c r="AT519" s="2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4"/>
      <c r="AS520" s="2"/>
      <c r="AT520" s="2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4"/>
      <c r="AS521" s="2"/>
      <c r="AT521" s="2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4"/>
      <c r="AS522" s="2"/>
      <c r="AT522" s="2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4"/>
      <c r="AS523" s="2"/>
      <c r="AT523" s="2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4"/>
      <c r="AS524" s="2"/>
      <c r="AT524" s="2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4"/>
      <c r="AS525" s="2"/>
      <c r="AT525" s="2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4"/>
      <c r="AS526" s="2"/>
      <c r="AT526" s="2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4"/>
      <c r="AS527" s="2"/>
      <c r="AT527" s="2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4"/>
      <c r="AS528" s="2"/>
      <c r="AT528" s="2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4"/>
      <c r="AS529" s="2"/>
      <c r="AT529" s="2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4"/>
      <c r="AS530" s="2"/>
      <c r="AT530" s="2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4"/>
      <c r="AS531" s="2"/>
      <c r="AT531" s="2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4"/>
      <c r="AS532" s="2"/>
      <c r="AT532" s="2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4"/>
      <c r="AS533" s="2"/>
      <c r="AT533" s="2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4"/>
      <c r="AS534" s="2"/>
      <c r="AT534" s="2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4"/>
      <c r="AS535" s="2"/>
      <c r="AT535" s="2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4"/>
      <c r="AS536" s="2"/>
      <c r="AT536" s="2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4"/>
      <c r="AS537" s="2"/>
      <c r="AT537" s="2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4"/>
      <c r="AS538" s="2"/>
      <c r="AT538" s="2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4"/>
      <c r="AS539" s="2"/>
      <c r="AT539" s="2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4"/>
      <c r="AS540" s="2"/>
      <c r="AT540" s="2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4"/>
      <c r="AS541" s="2"/>
      <c r="AT541" s="2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4"/>
      <c r="AS542" s="2"/>
      <c r="AT542" s="2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4"/>
      <c r="AS543" s="2"/>
      <c r="AT543" s="2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4"/>
      <c r="AS544" s="2"/>
      <c r="AT544" s="2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4"/>
      <c r="AS545" s="2"/>
      <c r="AT545" s="2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4"/>
      <c r="AS546" s="2"/>
      <c r="AT546" s="2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4"/>
      <c r="AS547" s="2"/>
      <c r="AT547" s="2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4"/>
      <c r="AS548" s="2"/>
      <c r="AT548" s="2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4"/>
      <c r="AS549" s="2"/>
      <c r="AT549" s="2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4"/>
      <c r="AS550" s="2"/>
      <c r="AT550" s="2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4"/>
      <c r="AS551" s="2"/>
      <c r="AT551" s="2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4"/>
      <c r="AS552" s="2"/>
      <c r="AT552" s="2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4"/>
      <c r="AS553" s="2"/>
      <c r="AT553" s="2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4"/>
      <c r="AS554" s="2"/>
      <c r="AT554" s="2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4"/>
      <c r="AS555" s="2"/>
      <c r="AT555" s="2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4"/>
      <c r="AS556" s="2"/>
      <c r="AT556" s="2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4"/>
      <c r="AS557" s="2"/>
      <c r="AT557" s="2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4"/>
      <c r="AS558" s="2"/>
      <c r="AT558" s="2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4"/>
      <c r="AS559" s="2"/>
      <c r="AT559" s="2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4"/>
      <c r="AS560" s="2"/>
      <c r="AT560" s="2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4"/>
      <c r="AS561" s="2"/>
      <c r="AT561" s="2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4"/>
      <c r="AS562" s="2"/>
      <c r="AT562" s="2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4"/>
      <c r="AS563" s="2"/>
      <c r="AT563" s="2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4"/>
      <c r="AS564" s="2"/>
      <c r="AT564" s="2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4"/>
      <c r="AS565" s="2"/>
      <c r="AT565" s="2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4"/>
      <c r="AS566" s="2"/>
      <c r="AT566" s="2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4"/>
      <c r="AS567" s="2"/>
      <c r="AT567" s="2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4"/>
      <c r="AS568" s="2"/>
      <c r="AT568" s="2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4"/>
      <c r="AS569" s="2"/>
      <c r="AT569" s="2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4"/>
      <c r="AS570" s="2"/>
      <c r="AT570" s="2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4"/>
      <c r="AS571" s="2"/>
      <c r="AT571" s="2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4"/>
      <c r="AS572" s="2"/>
      <c r="AT572" s="2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4"/>
      <c r="AS573" s="2"/>
      <c r="AT573" s="2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4"/>
      <c r="AS574" s="2"/>
      <c r="AT574" s="2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4"/>
      <c r="AS575" s="2"/>
      <c r="AT575" s="2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4"/>
      <c r="AS576" s="2"/>
      <c r="AT576" s="2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4"/>
      <c r="AS577" s="2"/>
      <c r="AT577" s="2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4"/>
      <c r="AS578" s="2"/>
      <c r="AT578" s="2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4"/>
      <c r="AS579" s="2"/>
      <c r="AT579" s="2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4"/>
      <c r="AS580" s="2"/>
      <c r="AT580" s="2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4"/>
      <c r="AS581" s="2"/>
      <c r="AT581" s="2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4"/>
      <c r="AS582" s="2"/>
      <c r="AT582" s="2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4"/>
      <c r="AS583" s="2"/>
      <c r="AT583" s="2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4"/>
      <c r="AS584" s="2"/>
      <c r="AT584" s="2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4"/>
      <c r="AS585" s="2"/>
      <c r="AT585" s="2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4"/>
      <c r="AS586" s="2"/>
      <c r="AT586" s="2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4"/>
      <c r="AS587" s="2"/>
      <c r="AT587" s="2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4"/>
      <c r="AS588" s="2"/>
      <c r="AT588" s="2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4"/>
      <c r="AS589" s="2"/>
      <c r="AT589" s="2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4"/>
      <c r="AS590" s="2"/>
      <c r="AT590" s="2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4"/>
      <c r="AS591" s="2"/>
      <c r="AT591" s="2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4"/>
      <c r="AS592" s="2"/>
      <c r="AT592" s="2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4"/>
      <c r="AS593" s="2"/>
      <c r="AT593" s="2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4"/>
      <c r="AS594" s="2"/>
      <c r="AT594" s="2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4"/>
      <c r="AS595" s="2"/>
      <c r="AT595" s="2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4"/>
      <c r="AS596" s="2"/>
      <c r="AT596" s="2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4"/>
      <c r="AS597" s="2"/>
      <c r="AT597" s="2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4"/>
      <c r="AS598" s="2"/>
      <c r="AT598" s="2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4"/>
      <c r="AS599" s="2"/>
      <c r="AT599" s="2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4"/>
      <c r="AS600" s="2"/>
      <c r="AT600" s="2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4"/>
      <c r="AS601" s="2"/>
      <c r="AT601" s="2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4"/>
      <c r="AS602" s="2"/>
      <c r="AT602" s="2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4"/>
      <c r="AS603" s="2"/>
      <c r="AT603" s="2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4"/>
      <c r="AS604" s="2"/>
      <c r="AT604" s="2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4"/>
      <c r="AS605" s="2"/>
      <c r="AT605" s="2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4"/>
      <c r="AS606" s="2"/>
      <c r="AT606" s="2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4"/>
      <c r="AS607" s="2"/>
      <c r="AT607" s="2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4"/>
      <c r="AS608" s="2"/>
      <c r="AT608" s="2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4"/>
      <c r="AS609" s="2"/>
      <c r="AT609" s="2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4"/>
      <c r="AS610" s="2"/>
      <c r="AT610" s="2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4"/>
      <c r="AS611" s="2"/>
      <c r="AT611" s="2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4"/>
      <c r="AS612" s="2"/>
      <c r="AT612" s="2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4"/>
      <c r="AS613" s="2"/>
      <c r="AT613" s="2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4"/>
      <c r="AS614" s="2"/>
      <c r="AT614" s="2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4"/>
      <c r="AS615" s="2"/>
      <c r="AT615" s="2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4"/>
      <c r="AS616" s="2"/>
      <c r="AT616" s="2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4"/>
      <c r="AS617" s="2"/>
      <c r="AT617" s="2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4"/>
      <c r="AS618" s="2"/>
      <c r="AT618" s="2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4"/>
      <c r="AS619" s="2"/>
      <c r="AT619" s="2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4"/>
      <c r="AS620" s="2"/>
      <c r="AT620" s="2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4"/>
      <c r="AS621" s="2"/>
      <c r="AT621" s="2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4"/>
      <c r="AS622" s="2"/>
      <c r="AT622" s="2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4"/>
      <c r="AS623" s="2"/>
      <c r="AT623" s="2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4"/>
      <c r="AS624" s="2"/>
      <c r="AT624" s="2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4"/>
      <c r="AS625" s="2"/>
      <c r="AT625" s="2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4"/>
      <c r="AS626" s="2"/>
      <c r="AT626" s="2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4"/>
      <c r="AS627" s="2"/>
      <c r="AT627" s="2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4"/>
      <c r="AS628" s="2"/>
      <c r="AT628" s="2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4"/>
      <c r="AS629" s="2"/>
      <c r="AT629" s="2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4"/>
      <c r="AS630" s="2"/>
      <c r="AT630" s="2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4"/>
      <c r="AS631" s="2"/>
      <c r="AT631" s="2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4"/>
      <c r="AS632" s="2"/>
      <c r="AT632" s="2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4"/>
      <c r="AS633" s="2"/>
      <c r="AT633" s="2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4"/>
      <c r="AS634" s="2"/>
      <c r="AT634" s="2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4"/>
      <c r="AS635" s="2"/>
      <c r="AT635" s="2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4"/>
      <c r="AS636" s="2"/>
      <c r="AT636" s="2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4"/>
      <c r="AS637" s="2"/>
      <c r="AT637" s="2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4"/>
      <c r="AS638" s="2"/>
      <c r="AT638" s="2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4"/>
      <c r="AS639" s="2"/>
      <c r="AT639" s="2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4"/>
      <c r="AS640" s="2"/>
      <c r="AT640" s="2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4"/>
      <c r="AS641" s="2"/>
      <c r="AT641" s="2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4"/>
      <c r="AS642" s="2"/>
      <c r="AT642" s="2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4"/>
      <c r="AS643" s="2"/>
      <c r="AT643" s="2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4"/>
      <c r="AS644" s="2"/>
      <c r="AT644" s="2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4"/>
      <c r="AS645" s="2"/>
      <c r="AT645" s="2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4"/>
      <c r="AS646" s="2"/>
      <c r="AT646" s="2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4"/>
      <c r="AS647" s="2"/>
      <c r="AT647" s="2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4"/>
      <c r="AS648" s="2"/>
      <c r="AT648" s="2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4"/>
      <c r="AS649" s="2"/>
      <c r="AT649" s="2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4"/>
      <c r="AS650" s="2"/>
      <c r="AT650" s="2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4"/>
      <c r="AS651" s="2"/>
      <c r="AT651" s="2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4"/>
      <c r="AS652" s="2"/>
      <c r="AT652" s="2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4"/>
      <c r="AS653" s="2"/>
      <c r="AT653" s="2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4"/>
      <c r="AS654" s="2"/>
      <c r="AT654" s="2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4"/>
      <c r="AS655" s="2"/>
      <c r="AT655" s="2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4"/>
      <c r="AS656" s="2"/>
      <c r="AT656" s="2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4"/>
      <c r="AS657" s="2"/>
      <c r="AT657" s="2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4"/>
      <c r="AS658" s="2"/>
      <c r="AT658" s="2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4"/>
      <c r="AS659" s="2"/>
      <c r="AT659" s="2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4"/>
      <c r="AS660" s="2"/>
      <c r="AT660" s="2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4"/>
      <c r="AS661" s="2"/>
      <c r="AT661" s="2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4"/>
      <c r="AS662" s="2"/>
      <c r="AT662" s="2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4"/>
      <c r="AS663" s="2"/>
      <c r="AT663" s="2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4"/>
      <c r="AS664" s="2"/>
      <c r="AT664" s="2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4"/>
      <c r="AS665" s="2"/>
      <c r="AT665" s="2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4"/>
      <c r="AS666" s="2"/>
      <c r="AT666" s="2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4"/>
      <c r="AS667" s="2"/>
      <c r="AT667" s="2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4"/>
      <c r="AS668" s="2"/>
      <c r="AT668" s="2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4"/>
      <c r="AS669" s="2"/>
      <c r="AT669" s="2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4"/>
      <c r="AS670" s="2"/>
      <c r="AT670" s="2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4"/>
      <c r="AS671" s="2"/>
      <c r="AT671" s="2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4"/>
      <c r="AS672" s="2"/>
      <c r="AT672" s="2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4"/>
      <c r="AS673" s="2"/>
      <c r="AT673" s="2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4"/>
      <c r="AS674" s="2"/>
      <c r="AT674" s="2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4"/>
      <c r="AS675" s="2"/>
      <c r="AT675" s="2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4"/>
      <c r="AS676" s="2"/>
      <c r="AT676" s="2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4"/>
      <c r="AS677" s="2"/>
      <c r="AT677" s="2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4"/>
      <c r="AS678" s="2"/>
      <c r="AT678" s="2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4"/>
      <c r="AS679" s="2"/>
      <c r="AT679" s="2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4"/>
      <c r="AS680" s="2"/>
      <c r="AT680" s="2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4"/>
      <c r="AS681" s="2"/>
      <c r="AT681" s="2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4"/>
      <c r="AS682" s="2"/>
      <c r="AT682" s="2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4"/>
      <c r="AS683" s="2"/>
      <c r="AT683" s="2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4"/>
      <c r="AS684" s="2"/>
      <c r="AT684" s="2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4"/>
      <c r="AS685" s="2"/>
      <c r="AT685" s="2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4"/>
      <c r="AS686" s="2"/>
      <c r="AT686" s="2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4"/>
      <c r="AS687" s="2"/>
      <c r="AT687" s="2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4"/>
      <c r="AS688" s="2"/>
      <c r="AT688" s="2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4"/>
      <c r="AS689" s="2"/>
      <c r="AT689" s="2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4"/>
      <c r="AS690" s="2"/>
      <c r="AT690" s="2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4"/>
      <c r="AS691" s="2"/>
      <c r="AT691" s="2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4"/>
      <c r="AS692" s="2"/>
      <c r="AT692" s="2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4"/>
      <c r="AS693" s="2"/>
      <c r="AT693" s="2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4"/>
      <c r="AS694" s="2"/>
      <c r="AT694" s="2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4"/>
      <c r="AS695" s="2"/>
      <c r="AT695" s="2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4"/>
      <c r="AS696" s="2"/>
      <c r="AT696" s="2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4"/>
      <c r="AS697" s="2"/>
      <c r="AT697" s="2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4"/>
      <c r="AS698" s="2"/>
      <c r="AT698" s="2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4"/>
      <c r="AS699" s="2"/>
      <c r="AT699" s="2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4"/>
      <c r="AS700" s="2"/>
      <c r="AT700" s="2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4"/>
      <c r="AS701" s="2"/>
      <c r="AT701" s="2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4"/>
      <c r="AS702" s="2"/>
      <c r="AT702" s="2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4"/>
      <c r="AS703" s="2"/>
      <c r="AT703" s="2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4"/>
      <c r="AS704" s="2"/>
      <c r="AT704" s="2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4"/>
      <c r="AS705" s="2"/>
      <c r="AT705" s="2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4"/>
      <c r="AS706" s="2"/>
      <c r="AT706" s="2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4"/>
      <c r="AS707" s="2"/>
      <c r="AT707" s="2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4"/>
      <c r="AS708" s="2"/>
      <c r="AT708" s="2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4"/>
      <c r="AS709" s="2"/>
      <c r="AT709" s="2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4"/>
      <c r="AS710" s="2"/>
      <c r="AT710" s="2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4"/>
      <c r="AS711" s="2"/>
      <c r="AT711" s="2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4"/>
      <c r="AS712" s="2"/>
      <c r="AT712" s="2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4"/>
      <c r="AS713" s="2"/>
      <c r="AT713" s="2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4"/>
      <c r="AS714" s="2"/>
      <c r="AT714" s="2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4"/>
      <c r="AS715" s="2"/>
      <c r="AT715" s="2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4"/>
      <c r="AS716" s="2"/>
      <c r="AT716" s="2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4"/>
      <c r="AS717" s="2"/>
      <c r="AT717" s="2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4"/>
      <c r="AS718" s="2"/>
      <c r="AT718" s="2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4"/>
      <c r="AS719" s="2"/>
      <c r="AT719" s="2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4"/>
      <c r="AS720" s="2"/>
      <c r="AT720" s="2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4"/>
      <c r="AS721" s="2"/>
      <c r="AT721" s="2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4"/>
      <c r="AS722" s="2"/>
      <c r="AT722" s="2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4"/>
      <c r="AS723" s="2"/>
      <c r="AT723" s="2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4"/>
      <c r="AS724" s="2"/>
      <c r="AT724" s="2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4"/>
      <c r="AS725" s="2"/>
      <c r="AT725" s="2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4"/>
      <c r="AS726" s="2"/>
      <c r="AT726" s="2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4"/>
      <c r="AS727" s="2"/>
      <c r="AT727" s="2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4"/>
      <c r="AS728" s="2"/>
      <c r="AT728" s="2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4"/>
      <c r="AS729" s="2"/>
      <c r="AT729" s="2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4"/>
      <c r="AS730" s="2"/>
      <c r="AT730" s="2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4"/>
      <c r="AS731" s="2"/>
      <c r="AT731" s="2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4"/>
      <c r="AS732" s="2"/>
      <c r="AT732" s="2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4"/>
      <c r="AS733" s="2"/>
      <c r="AT733" s="2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4"/>
      <c r="AS734" s="2"/>
      <c r="AT734" s="2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4"/>
      <c r="AS735" s="2"/>
      <c r="AT735" s="2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4"/>
      <c r="AS736" s="2"/>
      <c r="AT736" s="2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4"/>
      <c r="AS737" s="2"/>
      <c r="AT737" s="2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4"/>
      <c r="AS738" s="2"/>
      <c r="AT738" s="2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4"/>
      <c r="AS739" s="2"/>
      <c r="AT739" s="2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4"/>
      <c r="AS740" s="2"/>
      <c r="AT740" s="2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4"/>
      <c r="AS741" s="2"/>
      <c r="AT741" s="2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4"/>
      <c r="AS742" s="2"/>
      <c r="AT742" s="2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4"/>
      <c r="AS743" s="2"/>
      <c r="AT743" s="2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4"/>
      <c r="AS744" s="2"/>
      <c r="AT744" s="2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4"/>
      <c r="AS745" s="2"/>
      <c r="AT745" s="2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4"/>
      <c r="AS746" s="2"/>
      <c r="AT746" s="2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4"/>
      <c r="AS747" s="2"/>
      <c r="AT747" s="2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4"/>
      <c r="AS748" s="2"/>
      <c r="AT748" s="2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4"/>
      <c r="AS749" s="2"/>
      <c r="AT749" s="2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4"/>
      <c r="AS750" s="2"/>
      <c r="AT750" s="2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4"/>
      <c r="AS751" s="2"/>
      <c r="AT751" s="2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4"/>
      <c r="AS752" s="2"/>
      <c r="AT752" s="2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4"/>
      <c r="AS753" s="2"/>
      <c r="AT753" s="2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4"/>
      <c r="AS754" s="2"/>
      <c r="AT754" s="2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4"/>
      <c r="AS755" s="2"/>
      <c r="AT755" s="2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4"/>
      <c r="AS756" s="2"/>
      <c r="AT756" s="2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4"/>
      <c r="AS757" s="2"/>
      <c r="AT757" s="2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4"/>
      <c r="AS758" s="2"/>
      <c r="AT758" s="2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4"/>
      <c r="AS759" s="2"/>
      <c r="AT759" s="2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4"/>
      <c r="AS760" s="2"/>
      <c r="AT760" s="2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4"/>
      <c r="AS761" s="2"/>
      <c r="AT761" s="2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4"/>
      <c r="AS762" s="2"/>
      <c r="AT762" s="2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4"/>
      <c r="AS763" s="2"/>
      <c r="AT763" s="2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4"/>
      <c r="AS764" s="2"/>
      <c r="AT764" s="2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4"/>
      <c r="AS765" s="2"/>
      <c r="AT765" s="2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4"/>
      <c r="AS766" s="2"/>
      <c r="AT766" s="2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4"/>
      <c r="AS767" s="2"/>
      <c r="AT767" s="2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4"/>
      <c r="AS768" s="2"/>
      <c r="AT768" s="2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4"/>
      <c r="AS769" s="2"/>
      <c r="AT769" s="2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4"/>
      <c r="AS770" s="2"/>
      <c r="AT770" s="2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4"/>
      <c r="AS771" s="2"/>
      <c r="AT771" s="2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4"/>
      <c r="AS772" s="2"/>
      <c r="AT772" s="2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4"/>
      <c r="AS773" s="2"/>
      <c r="AT773" s="2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4"/>
      <c r="AS774" s="2"/>
      <c r="AT774" s="2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4"/>
      <c r="AS775" s="2"/>
      <c r="AT775" s="2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4"/>
      <c r="AS776" s="2"/>
      <c r="AT776" s="2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4"/>
      <c r="AS777" s="2"/>
      <c r="AT777" s="2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4"/>
      <c r="AS778" s="2"/>
      <c r="AT778" s="2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4"/>
      <c r="AS779" s="2"/>
      <c r="AT779" s="2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4"/>
      <c r="AS780" s="2"/>
      <c r="AT780" s="2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4"/>
      <c r="AS781" s="2"/>
      <c r="AT781" s="2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4"/>
      <c r="AS782" s="2"/>
      <c r="AT782" s="2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4"/>
      <c r="AS783" s="2"/>
      <c r="AT783" s="2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4"/>
      <c r="AS784" s="2"/>
      <c r="AT784" s="2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4"/>
      <c r="AS785" s="2"/>
      <c r="AT785" s="2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4"/>
      <c r="AS786" s="2"/>
      <c r="AT786" s="2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4"/>
      <c r="AS787" s="2"/>
      <c r="AT787" s="2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4"/>
      <c r="AS788" s="2"/>
      <c r="AT788" s="2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4"/>
      <c r="AS789" s="2"/>
      <c r="AT789" s="2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4"/>
      <c r="AS790" s="2"/>
      <c r="AT790" s="2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4"/>
      <c r="AS791" s="2"/>
      <c r="AT791" s="2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4"/>
      <c r="AS792" s="2"/>
      <c r="AT792" s="2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4"/>
      <c r="AS793" s="2"/>
      <c r="AT793" s="2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4"/>
      <c r="AS794" s="2"/>
      <c r="AT794" s="2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4"/>
      <c r="AS795" s="2"/>
      <c r="AT795" s="2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4"/>
      <c r="AS796" s="2"/>
      <c r="AT796" s="2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4"/>
      <c r="AS797" s="2"/>
      <c r="AT797" s="2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4"/>
      <c r="AS798" s="2"/>
      <c r="AT798" s="2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4"/>
      <c r="AS799" s="2"/>
      <c r="AT799" s="2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4"/>
      <c r="AS800" s="2"/>
      <c r="AT800" s="2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4"/>
      <c r="AS801" s="2"/>
      <c r="AT801" s="2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4"/>
      <c r="AS802" s="2"/>
      <c r="AT802" s="2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4"/>
      <c r="AS803" s="2"/>
      <c r="AT803" s="2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4"/>
      <c r="AS804" s="2"/>
      <c r="AT804" s="2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4"/>
      <c r="AS805" s="2"/>
      <c r="AT805" s="2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4"/>
      <c r="AS806" s="2"/>
      <c r="AT806" s="2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4"/>
      <c r="AS807" s="2"/>
      <c r="AT807" s="2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4"/>
      <c r="AS808" s="2"/>
      <c r="AT808" s="2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4"/>
      <c r="AS809" s="2"/>
      <c r="AT809" s="2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4"/>
      <c r="AS810" s="2"/>
      <c r="AT810" s="2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4"/>
      <c r="AS811" s="2"/>
      <c r="AT811" s="2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4"/>
      <c r="AS812" s="2"/>
      <c r="AT812" s="2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4"/>
      <c r="AS813" s="2"/>
      <c r="AT813" s="2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4"/>
      <c r="AS814" s="2"/>
      <c r="AT814" s="2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4"/>
      <c r="AS815" s="2"/>
      <c r="AT815" s="2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4"/>
      <c r="AS816" s="2"/>
      <c r="AT816" s="2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4"/>
      <c r="AS817" s="2"/>
      <c r="AT817" s="2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4"/>
      <c r="AS818" s="2"/>
      <c r="AT818" s="2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4"/>
      <c r="AS819" s="2"/>
      <c r="AT819" s="2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4"/>
      <c r="AS820" s="2"/>
      <c r="AT820" s="2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4"/>
      <c r="AS821" s="2"/>
      <c r="AT821" s="2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4"/>
      <c r="AS822" s="2"/>
      <c r="AT822" s="2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4"/>
      <c r="AS823" s="2"/>
      <c r="AT823" s="2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4"/>
      <c r="AS824" s="2"/>
      <c r="AT824" s="2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4"/>
      <c r="AS825" s="2"/>
      <c r="AT825" s="2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4"/>
      <c r="AS826" s="2"/>
      <c r="AT826" s="2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4"/>
      <c r="AS827" s="2"/>
      <c r="AT827" s="2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4"/>
      <c r="AS828" s="2"/>
      <c r="AT828" s="2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4"/>
      <c r="AS829" s="2"/>
      <c r="AT829" s="2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4"/>
      <c r="AS830" s="2"/>
      <c r="AT830" s="2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4"/>
      <c r="AS831" s="2"/>
      <c r="AT831" s="2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4"/>
      <c r="AS832" s="2"/>
      <c r="AT832" s="2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4"/>
      <c r="AS833" s="2"/>
      <c r="AT833" s="2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4"/>
      <c r="AS834" s="2"/>
      <c r="AT834" s="2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4"/>
      <c r="AS835" s="2"/>
      <c r="AT835" s="2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4"/>
      <c r="AS836" s="2"/>
      <c r="AT836" s="2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4"/>
      <c r="AS837" s="2"/>
      <c r="AT837" s="2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4"/>
      <c r="AS838" s="2"/>
      <c r="AT838" s="2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4"/>
      <c r="AS839" s="2"/>
      <c r="AT839" s="2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4"/>
      <c r="AS840" s="2"/>
      <c r="AT840" s="2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4"/>
      <c r="AS841" s="2"/>
      <c r="AT841" s="2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4"/>
      <c r="AS842" s="2"/>
      <c r="AT842" s="2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4"/>
      <c r="AS843" s="2"/>
      <c r="AT843" s="2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4"/>
      <c r="AS844" s="2"/>
      <c r="AT844" s="2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4"/>
      <c r="AS845" s="2"/>
      <c r="AT845" s="2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4"/>
      <c r="AS846" s="2"/>
      <c r="AT846" s="2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4"/>
      <c r="AS847" s="2"/>
      <c r="AT847" s="2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4"/>
      <c r="AS848" s="2"/>
      <c r="AT848" s="2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4"/>
      <c r="AS849" s="2"/>
      <c r="AT849" s="2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4"/>
      <c r="AS850" s="2"/>
      <c r="AT850" s="2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4"/>
      <c r="AS851" s="2"/>
      <c r="AT851" s="2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4"/>
      <c r="AS852" s="2"/>
      <c r="AT852" s="2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4"/>
      <c r="AS853" s="2"/>
      <c r="AT853" s="2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4"/>
      <c r="AS854" s="2"/>
      <c r="AT854" s="2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4"/>
      <c r="AS855" s="2"/>
      <c r="AT855" s="2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4"/>
      <c r="AS856" s="2"/>
      <c r="AT856" s="2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4"/>
      <c r="AS857" s="2"/>
      <c r="AT857" s="2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4"/>
      <c r="AS858" s="2"/>
      <c r="AT858" s="2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4"/>
      <c r="AS859" s="2"/>
      <c r="AT859" s="2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4"/>
      <c r="AS860" s="2"/>
      <c r="AT860" s="2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4"/>
      <c r="AS861" s="2"/>
      <c r="AT861" s="2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4"/>
      <c r="AS862" s="2"/>
      <c r="AT862" s="2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4"/>
      <c r="AS863" s="2"/>
      <c r="AT863" s="2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4"/>
      <c r="AS864" s="2"/>
      <c r="AT864" s="2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4"/>
      <c r="AS865" s="2"/>
      <c r="AT865" s="2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4"/>
      <c r="AS866" s="2"/>
      <c r="AT866" s="2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4"/>
      <c r="AS867" s="2"/>
      <c r="AT867" s="2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4"/>
      <c r="AS868" s="2"/>
      <c r="AT868" s="2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4"/>
      <c r="AS869" s="2"/>
      <c r="AT869" s="2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4"/>
      <c r="AS870" s="2"/>
      <c r="AT870" s="2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4"/>
      <c r="AS871" s="2"/>
      <c r="AT871" s="2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4"/>
      <c r="AS872" s="2"/>
      <c r="AT872" s="2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4"/>
      <c r="AS873" s="2"/>
      <c r="AT873" s="2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4"/>
      <c r="AS874" s="2"/>
      <c r="AT874" s="2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4"/>
      <c r="AS875" s="2"/>
      <c r="AT875" s="2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4"/>
      <c r="AS876" s="2"/>
      <c r="AT876" s="2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4"/>
      <c r="AS877" s="2"/>
      <c r="AT877" s="2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4"/>
      <c r="AS878" s="2"/>
      <c r="AT878" s="2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4"/>
      <c r="AS879" s="2"/>
      <c r="AT879" s="2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4"/>
      <c r="AS880" s="2"/>
      <c r="AT880" s="2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4"/>
      <c r="AS881" s="2"/>
      <c r="AT881" s="2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4"/>
      <c r="AS882" s="2"/>
      <c r="AT882" s="2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4"/>
      <c r="AS883" s="2"/>
      <c r="AT883" s="2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4"/>
      <c r="AS884" s="2"/>
      <c r="AT884" s="2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4"/>
      <c r="AS885" s="2"/>
      <c r="AT885" s="2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4"/>
      <c r="AS886" s="2"/>
      <c r="AT886" s="2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4"/>
      <c r="AS887" s="2"/>
      <c r="AT887" s="2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4"/>
      <c r="AS888" s="2"/>
      <c r="AT888" s="2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4"/>
      <c r="AS889" s="2"/>
      <c r="AT889" s="2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4"/>
      <c r="AS890" s="2"/>
      <c r="AT890" s="2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4"/>
      <c r="AS891" s="2"/>
      <c r="AT891" s="2"/>
    </row>
    <row r="89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4"/>
      <c r="AS892" s="2"/>
      <c r="AT892" s="2"/>
    </row>
    <row r="89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4"/>
      <c r="AS893" s="2"/>
      <c r="AT893" s="2"/>
    </row>
    <row r="894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4"/>
      <c r="AS894" s="2"/>
      <c r="AT894" s="2"/>
    </row>
    <row r="89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4"/>
      <c r="AS895" s="2"/>
      <c r="AT895" s="2"/>
    </row>
    <row r="89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4"/>
      <c r="AS896" s="2"/>
      <c r="AT896" s="2"/>
    </row>
    <row r="897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4"/>
      <c r="AS897" s="2"/>
      <c r="AT897" s="2"/>
    </row>
    <row r="89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4"/>
      <c r="AS898" s="2"/>
      <c r="AT898" s="2"/>
    </row>
    <row r="899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4"/>
      <c r="AS899" s="2"/>
      <c r="AT899" s="2"/>
    </row>
    <row r="900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4"/>
      <c r="AS900" s="2"/>
      <c r="AT900" s="2"/>
    </row>
    <row r="90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4"/>
      <c r="AS901" s="2"/>
      <c r="AT901" s="2"/>
    </row>
    <row r="90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4"/>
      <c r="AS902" s="2"/>
      <c r="AT902" s="2"/>
    </row>
    <row r="90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4"/>
      <c r="AS903" s="2"/>
      <c r="AT903" s="2"/>
    </row>
    <row r="904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4"/>
      <c r="AS904" s="2"/>
      <c r="AT904" s="2"/>
    </row>
    <row r="90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4"/>
      <c r="AS905" s="2"/>
      <c r="AT905" s="2"/>
    </row>
    <row r="90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4"/>
      <c r="AS906" s="2"/>
      <c r="AT906" s="2"/>
    </row>
    <row r="907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4"/>
      <c r="AS907" s="2"/>
      <c r="AT907" s="2"/>
    </row>
    <row r="908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4"/>
      <c r="AS908" s="2"/>
      <c r="AT908" s="2"/>
    </row>
    <row r="909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4"/>
      <c r="AS909" s="2"/>
      <c r="AT909" s="2"/>
    </row>
    <row r="910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4"/>
      <c r="AS910" s="2"/>
      <c r="AT910" s="2"/>
    </row>
    <row r="91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4"/>
      <c r="AS911" s="2"/>
      <c r="AT911" s="2"/>
    </row>
    <row r="91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4"/>
      <c r="AS912" s="2"/>
      <c r="AT912" s="2"/>
    </row>
    <row r="91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4"/>
      <c r="AS913" s="2"/>
      <c r="AT913" s="2"/>
    </row>
    <row r="914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4"/>
      <c r="AS914" s="2"/>
      <c r="AT914" s="2"/>
    </row>
    <row r="9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4"/>
      <c r="AS915" s="2"/>
      <c r="AT915" s="2"/>
    </row>
    <row r="91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4"/>
      <c r="AS916" s="2"/>
      <c r="AT916" s="2"/>
    </row>
    <row r="917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4"/>
      <c r="AS917" s="2"/>
      <c r="AT917" s="2"/>
    </row>
    <row r="918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4"/>
      <c r="AS918" s="2"/>
      <c r="AT918" s="2"/>
    </row>
    <row r="919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4"/>
      <c r="AS919" s="2"/>
      <c r="AT919" s="2"/>
    </row>
    <row r="920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4"/>
      <c r="AS920" s="2"/>
      <c r="AT920" s="2"/>
    </row>
    <row r="92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4"/>
      <c r="AS921" s="2"/>
      <c r="AT921" s="2"/>
    </row>
    <row r="92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4"/>
      <c r="AS922" s="2"/>
      <c r="AT922" s="2"/>
    </row>
    <row r="92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4"/>
      <c r="AS923" s="2"/>
      <c r="AT923" s="2"/>
    </row>
    <row r="924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4"/>
      <c r="AS924" s="2"/>
      <c r="AT924" s="2"/>
    </row>
    <row r="9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4"/>
      <c r="AS925" s="2"/>
      <c r="AT925" s="2"/>
    </row>
    <row r="9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4"/>
      <c r="AS926" s="2"/>
      <c r="AT926" s="2"/>
    </row>
    <row r="927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4"/>
      <c r="AS927" s="2"/>
      <c r="AT927" s="2"/>
    </row>
    <row r="928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4"/>
      <c r="AS928" s="2"/>
      <c r="AT928" s="2"/>
    </row>
    <row r="929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4"/>
      <c r="AS929" s="2"/>
      <c r="AT929" s="2"/>
    </row>
    <row r="930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4"/>
      <c r="AS930" s="2"/>
      <c r="AT930" s="2"/>
    </row>
    <row r="93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4"/>
      <c r="AS931" s="2"/>
      <c r="AT931" s="2"/>
    </row>
    <row r="93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4"/>
      <c r="AS932" s="2"/>
      <c r="AT932" s="2"/>
    </row>
    <row r="93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4"/>
      <c r="AS933" s="2"/>
      <c r="AT933" s="2"/>
    </row>
    <row r="934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4"/>
      <c r="AS934" s="2"/>
      <c r="AT934" s="2"/>
    </row>
    <row r="9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4"/>
      <c r="AS935" s="2"/>
      <c r="AT935" s="2"/>
    </row>
    <row r="93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4"/>
      <c r="AS936" s="2"/>
      <c r="AT936" s="2"/>
    </row>
    <row r="937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4"/>
      <c r="AS937" s="2"/>
      <c r="AT937" s="2"/>
    </row>
    <row r="938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4"/>
      <c r="AS938" s="2"/>
      <c r="AT938" s="2"/>
    </row>
    <row r="939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4"/>
      <c r="AS939" s="2"/>
      <c r="AT939" s="2"/>
    </row>
    <row r="940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4"/>
      <c r="AS940" s="2"/>
      <c r="AT940" s="2"/>
    </row>
    <row r="94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4"/>
      <c r="AS941" s="2"/>
      <c r="AT941" s="2"/>
    </row>
    <row r="94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4"/>
      <c r="AS942" s="2"/>
      <c r="AT942" s="2"/>
    </row>
    <row r="94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4"/>
      <c r="AS943" s="2"/>
      <c r="AT943" s="2"/>
    </row>
    <row r="944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4"/>
      <c r="AS944" s="2"/>
      <c r="AT944" s="2"/>
    </row>
    <row r="94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4"/>
      <c r="AS945" s="2"/>
      <c r="AT945" s="2"/>
    </row>
    <row r="94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4"/>
      <c r="AS946" s="2"/>
      <c r="AT946" s="2"/>
    </row>
    <row r="947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4"/>
      <c r="AS947" s="2"/>
      <c r="AT947" s="2"/>
    </row>
    <row r="948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4"/>
      <c r="AS948" s="2"/>
      <c r="AT948" s="2"/>
    </row>
    <row r="949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4"/>
      <c r="AS949" s="2"/>
      <c r="AT949" s="2"/>
    </row>
    <row r="950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4"/>
      <c r="AS950" s="2"/>
      <c r="AT950" s="2"/>
    </row>
    <row r="95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4"/>
      <c r="AS951" s="2"/>
      <c r="AT951" s="2"/>
    </row>
    <row r="95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4"/>
      <c r="AS952" s="2"/>
      <c r="AT952" s="2"/>
    </row>
    <row r="95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4"/>
      <c r="AS953" s="2"/>
      <c r="AT953" s="2"/>
    </row>
    <row r="954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4"/>
      <c r="AS954" s="2"/>
      <c r="AT954" s="2"/>
    </row>
    <row r="95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4"/>
      <c r="AS955" s="2"/>
      <c r="AT955" s="2"/>
    </row>
    <row r="95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4"/>
      <c r="AS956" s="2"/>
      <c r="AT956" s="2"/>
    </row>
    <row r="957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4"/>
      <c r="AS957" s="2"/>
      <c r="AT957" s="2"/>
    </row>
    <row r="958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4"/>
      <c r="AS958" s="2"/>
      <c r="AT958" s="2"/>
    </row>
    <row r="959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4"/>
      <c r="AS959" s="2"/>
      <c r="AT959" s="2"/>
    </row>
    <row r="960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4"/>
      <c r="AS960" s="2"/>
      <c r="AT960" s="2"/>
    </row>
    <row r="96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4"/>
      <c r="AS961" s="2"/>
      <c r="AT961" s="2"/>
    </row>
    <row r="96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4"/>
      <c r="AS962" s="2"/>
      <c r="AT962" s="2"/>
    </row>
    <row r="96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4"/>
      <c r="AS963" s="2"/>
      <c r="AT963" s="2"/>
    </row>
    <row r="964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4"/>
      <c r="AS964" s="2"/>
      <c r="AT964" s="2"/>
    </row>
    <row r="96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4"/>
      <c r="AS965" s="2"/>
      <c r="AT965" s="2"/>
    </row>
    <row r="96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4"/>
      <c r="AS966" s="2"/>
      <c r="AT966" s="2"/>
    </row>
    <row r="967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4"/>
      <c r="AS967" s="2"/>
      <c r="AT967" s="2"/>
    </row>
    <row r="968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4"/>
      <c r="AS968" s="2"/>
      <c r="AT968" s="2"/>
    </row>
    <row r="969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4"/>
      <c r="AS969" s="2"/>
      <c r="AT969" s="2"/>
    </row>
    <row r="970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4"/>
      <c r="AS970" s="2"/>
      <c r="AT970" s="2"/>
    </row>
    <row r="97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4"/>
      <c r="AS971" s="2"/>
      <c r="AT971" s="2"/>
    </row>
    <row r="97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4"/>
      <c r="AS972" s="2"/>
      <c r="AT972" s="2"/>
    </row>
    <row r="97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4"/>
      <c r="AS973" s="2"/>
      <c r="AT973" s="2"/>
    </row>
    <row r="974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4"/>
      <c r="AS974" s="2"/>
      <c r="AT974" s="2"/>
    </row>
    <row r="9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4"/>
      <c r="AS975" s="2"/>
      <c r="AT975" s="2"/>
    </row>
    <row r="97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"/>
      <c r="AS976" s="2"/>
      <c r="AT976" s="2"/>
    </row>
    <row r="977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"/>
      <c r="AS977" s="2"/>
      <c r="AT977" s="2"/>
    </row>
    <row r="978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"/>
      <c r="AS978" s="2"/>
      <c r="AT978" s="2"/>
    </row>
    <row r="979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"/>
      <c r="AS979" s="2"/>
      <c r="AT979" s="2"/>
    </row>
    <row r="980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"/>
      <c r="AS980" s="2"/>
      <c r="AT980" s="2"/>
    </row>
    <row r="98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"/>
      <c r="AS981" s="2"/>
      <c r="AT981" s="2"/>
    </row>
    <row r="98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"/>
      <c r="AS982" s="2"/>
      <c r="AT982" s="2"/>
    </row>
    <row r="98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"/>
      <c r="AS983" s="2"/>
      <c r="AT983" s="2"/>
    </row>
    <row r="984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"/>
      <c r="AS984" s="2"/>
      <c r="AT984" s="2"/>
    </row>
    <row r="98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"/>
      <c r="AS985" s="2"/>
      <c r="AT985" s="2"/>
    </row>
    <row r="98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"/>
      <c r="AS986" s="2"/>
      <c r="AT986" s="2"/>
    </row>
    <row r="987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"/>
      <c r="AS987" s="2"/>
      <c r="AT987" s="2"/>
    </row>
    <row r="988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"/>
      <c r="AS988" s="2"/>
      <c r="AT988" s="2"/>
    </row>
    <row r="989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"/>
      <c r="AS989" s="2"/>
      <c r="AT989" s="2"/>
    </row>
    <row r="990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"/>
      <c r="AS990" s="2"/>
      <c r="AT990" s="2"/>
    </row>
    <row r="99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"/>
      <c r="AS991" s="2"/>
      <c r="AT991" s="2"/>
    </row>
    <row r="99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"/>
      <c r="AS992" s="2"/>
      <c r="AT992" s="2"/>
    </row>
    <row r="99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"/>
      <c r="AS993" s="2"/>
      <c r="AT993" s="2"/>
    </row>
    <row r="994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"/>
      <c r="AS994" s="2"/>
      <c r="AT994" s="2"/>
    </row>
    <row r="99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"/>
      <c r="AS995" s="2"/>
      <c r="AT995" s="2"/>
    </row>
    <row r="99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"/>
      <c r="AS996" s="2"/>
      <c r="AT996" s="2"/>
    </row>
    <row r="997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"/>
      <c r="AS997" s="2"/>
      <c r="AT997" s="2"/>
    </row>
  </sheetData>
  <mergeCells count="27">
    <mergeCell ref="E5:G5"/>
    <mergeCell ref="H5:J5"/>
    <mergeCell ref="K5:M5"/>
    <mergeCell ref="N5:P5"/>
    <mergeCell ref="Q5:S5"/>
    <mergeCell ref="T5:V5"/>
    <mergeCell ref="W5:Y5"/>
    <mergeCell ref="AP5:AP7"/>
    <mergeCell ref="AQ5:AQ7"/>
    <mergeCell ref="AR5:AR7"/>
    <mergeCell ref="Z5:AB5"/>
    <mergeCell ref="AC5:AE5"/>
    <mergeCell ref="AF5:AH5"/>
    <mergeCell ref="AI5:AK5"/>
    <mergeCell ref="AM5:AM7"/>
    <mergeCell ref="AN5:AN7"/>
    <mergeCell ref="AO5:AO7"/>
    <mergeCell ref="D5:D6"/>
    <mergeCell ref="K43:M43"/>
    <mergeCell ref="N43:P43"/>
    <mergeCell ref="A2:C2"/>
    <mergeCell ref="A3:C3"/>
    <mergeCell ref="A4:C4"/>
    <mergeCell ref="A5:A6"/>
    <mergeCell ref="B5:B6"/>
    <mergeCell ref="C5:C6"/>
    <mergeCell ref="A7:D7"/>
  </mergeCells>
  <dataValidations>
    <dataValidation type="list" allowBlank="1" showErrorMessage="1" sqref="E8:AL40">
      <formula1>"Present,Absent,Late"</formula1>
    </dataValidation>
  </dataValidations>
  <hyperlinks>
    <hyperlink r:id="rId2" ref="A5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51"/>
      <c r="B1" s="51"/>
      <c r="C1" s="51"/>
      <c r="D1" s="51"/>
      <c r="E1" s="51"/>
      <c r="F1" s="51"/>
      <c r="G1" s="51"/>
      <c r="H1" s="52" t="s">
        <v>99</v>
      </c>
      <c r="K1" s="52" t="s">
        <v>100</v>
      </c>
      <c r="N1" s="52" t="s">
        <v>101</v>
      </c>
      <c r="Q1" s="53" t="s">
        <v>102</v>
      </c>
      <c r="R1" s="53" t="s">
        <v>103</v>
      </c>
      <c r="S1" s="53" t="s">
        <v>104</v>
      </c>
      <c r="T1" s="51"/>
      <c r="U1" s="51"/>
      <c r="V1" s="2"/>
      <c r="W1" s="2"/>
      <c r="X1" s="2"/>
      <c r="Y1" s="2"/>
      <c r="Z1" s="2"/>
    </row>
    <row r="2">
      <c r="A2" s="54" t="s">
        <v>105</v>
      </c>
      <c r="B2" s="55" t="s">
        <v>106</v>
      </c>
      <c r="C2" s="54" t="s">
        <v>107</v>
      </c>
      <c r="D2" s="54" t="s">
        <v>108</v>
      </c>
      <c r="E2" s="54" t="s">
        <v>109</v>
      </c>
      <c r="F2" s="54" t="s">
        <v>110</v>
      </c>
      <c r="G2" s="54" t="s">
        <v>111</v>
      </c>
      <c r="H2" s="54" t="s">
        <v>24</v>
      </c>
      <c r="I2" s="54" t="s">
        <v>20</v>
      </c>
      <c r="J2" s="55" t="s">
        <v>112</v>
      </c>
      <c r="K2" s="54" t="s">
        <v>24</v>
      </c>
      <c r="L2" s="54" t="s">
        <v>20</v>
      </c>
      <c r="M2" s="55" t="s">
        <v>112</v>
      </c>
      <c r="N2" s="54" t="s">
        <v>24</v>
      </c>
      <c r="O2" s="54" t="s">
        <v>20</v>
      </c>
      <c r="P2" s="55" t="s">
        <v>112</v>
      </c>
      <c r="Q2" s="56"/>
      <c r="R2" s="57"/>
      <c r="S2" s="57"/>
      <c r="T2" s="57"/>
      <c r="U2" s="57"/>
      <c r="V2" s="2"/>
      <c r="W2" s="2"/>
      <c r="X2" s="2"/>
      <c r="Y2" s="2"/>
      <c r="Z2" s="2"/>
    </row>
    <row r="3">
      <c r="A3" s="58">
        <v>1.0</v>
      </c>
      <c r="B3" s="59" t="str">
        <f>'Attendance Sheet'!C8</f>
        <v>Aayush Sharma</v>
      </c>
      <c r="C3" s="58" t="s">
        <v>113</v>
      </c>
      <c r="D3" s="58" t="s">
        <v>114</v>
      </c>
      <c r="E3" s="60" t="s">
        <v>115</v>
      </c>
      <c r="F3" s="58">
        <v>2.0</v>
      </c>
      <c r="G3" s="58" t="s">
        <v>116</v>
      </c>
      <c r="H3" s="61">
        <v>3.0</v>
      </c>
      <c r="I3" s="61">
        <v>3.0</v>
      </c>
      <c r="J3" s="61">
        <f t="shared" ref="J3:J35" si="1">I3/H3*100</f>
        <v>100</v>
      </c>
      <c r="K3" s="61">
        <v>3.0</v>
      </c>
      <c r="L3" s="58">
        <v>3.0</v>
      </c>
      <c r="M3" s="62">
        <f t="shared" ref="M3:M35" si="2">L3/K3*100</f>
        <v>100</v>
      </c>
      <c r="N3" s="61">
        <v>3.0</v>
      </c>
      <c r="O3" s="58">
        <v>3.0</v>
      </c>
      <c r="P3" s="61">
        <f t="shared" ref="P3:P35" si="3">O3/N3*100</f>
        <v>100</v>
      </c>
      <c r="Q3" s="61">
        <f t="shared" ref="Q3:Q35" si="4">(P3+M3+J3)/3</f>
        <v>100</v>
      </c>
      <c r="R3" s="58"/>
      <c r="S3" s="2" t="str">
        <f t="shared" ref="S3:S35" si="5">TEXT(Q3,"0")</f>
        <v>100</v>
      </c>
      <c r="T3" s="2"/>
      <c r="U3" s="2"/>
      <c r="V3" s="2"/>
      <c r="W3" s="2"/>
      <c r="X3" s="2"/>
      <c r="Y3" s="2"/>
      <c r="Z3" s="2"/>
    </row>
    <row r="4">
      <c r="A4" s="58">
        <v>2.0</v>
      </c>
      <c r="B4" s="59" t="str">
        <f>'Attendance Sheet'!C9</f>
        <v>Binita Rijal</v>
      </c>
      <c r="C4" s="58" t="s">
        <v>113</v>
      </c>
      <c r="D4" s="58" t="s">
        <v>114</v>
      </c>
      <c r="E4" s="60" t="s">
        <v>115</v>
      </c>
      <c r="F4" s="58">
        <v>2.0</v>
      </c>
      <c r="G4" s="58" t="s">
        <v>116</v>
      </c>
      <c r="H4" s="61">
        <v>3.0</v>
      </c>
      <c r="I4" s="58">
        <v>3.0</v>
      </c>
      <c r="J4" s="61">
        <f t="shared" si="1"/>
        <v>100</v>
      </c>
      <c r="K4" s="61">
        <v>3.0</v>
      </c>
      <c r="L4" s="58">
        <v>3.0</v>
      </c>
      <c r="M4" s="62">
        <f t="shared" si="2"/>
        <v>100</v>
      </c>
      <c r="N4" s="61">
        <v>3.0</v>
      </c>
      <c r="O4" s="58">
        <v>3.0</v>
      </c>
      <c r="P4" s="61">
        <f t="shared" si="3"/>
        <v>100</v>
      </c>
      <c r="Q4" s="61">
        <f t="shared" si="4"/>
        <v>100</v>
      </c>
      <c r="R4" s="2"/>
      <c r="S4" s="2" t="str">
        <f t="shared" si="5"/>
        <v>100</v>
      </c>
      <c r="T4" s="2"/>
      <c r="U4" s="2"/>
      <c r="V4" s="2"/>
      <c r="W4" s="2"/>
      <c r="X4" s="2"/>
      <c r="Y4" s="2"/>
      <c r="Z4" s="2"/>
    </row>
    <row r="5">
      <c r="A5" s="58">
        <v>3.0</v>
      </c>
      <c r="B5" s="59" t="str">
        <f>'Attendance Sheet'!C10</f>
        <v>Chirag Gautam</v>
      </c>
      <c r="C5" s="58" t="s">
        <v>113</v>
      </c>
      <c r="D5" s="58" t="s">
        <v>114</v>
      </c>
      <c r="E5" s="60" t="s">
        <v>115</v>
      </c>
      <c r="F5" s="58">
        <v>2.0</v>
      </c>
      <c r="G5" s="58" t="s">
        <v>116</v>
      </c>
      <c r="H5" s="61">
        <v>3.0</v>
      </c>
      <c r="I5" s="58">
        <v>3.0</v>
      </c>
      <c r="J5" s="61">
        <f t="shared" si="1"/>
        <v>100</v>
      </c>
      <c r="K5" s="61">
        <v>3.0</v>
      </c>
      <c r="L5" s="58">
        <v>3.0</v>
      </c>
      <c r="M5" s="62">
        <f t="shared" si="2"/>
        <v>100</v>
      </c>
      <c r="N5" s="61">
        <v>3.0</v>
      </c>
      <c r="O5" s="58">
        <v>3.0</v>
      </c>
      <c r="P5" s="61">
        <f t="shared" si="3"/>
        <v>100</v>
      </c>
      <c r="Q5" s="61">
        <f t="shared" si="4"/>
        <v>100</v>
      </c>
      <c r="R5" s="58"/>
      <c r="S5" s="2" t="str">
        <f t="shared" si="5"/>
        <v>100</v>
      </c>
      <c r="T5" s="2"/>
      <c r="U5" s="2"/>
      <c r="V5" s="2"/>
      <c r="W5" s="2"/>
      <c r="X5" s="2"/>
      <c r="Y5" s="2"/>
      <c r="Z5" s="2"/>
    </row>
    <row r="6">
      <c r="A6" s="58">
        <v>4.0</v>
      </c>
      <c r="B6" s="59" t="str">
        <f>'Attendance Sheet'!C11</f>
        <v>Dinesh Kunwar</v>
      </c>
      <c r="C6" s="58" t="s">
        <v>113</v>
      </c>
      <c r="D6" s="58" t="s">
        <v>114</v>
      </c>
      <c r="E6" s="60" t="s">
        <v>115</v>
      </c>
      <c r="F6" s="58">
        <v>2.0</v>
      </c>
      <c r="G6" s="58" t="s">
        <v>116</v>
      </c>
      <c r="H6" s="61">
        <v>3.0</v>
      </c>
      <c r="I6" s="58">
        <v>3.0</v>
      </c>
      <c r="J6" s="61">
        <f t="shared" si="1"/>
        <v>100</v>
      </c>
      <c r="K6" s="61">
        <v>3.0</v>
      </c>
      <c r="L6" s="58">
        <v>3.0</v>
      </c>
      <c r="M6" s="62">
        <f t="shared" si="2"/>
        <v>100</v>
      </c>
      <c r="N6" s="61">
        <v>3.0</v>
      </c>
      <c r="O6" s="58">
        <v>3.0</v>
      </c>
      <c r="P6" s="61">
        <f t="shared" si="3"/>
        <v>100</v>
      </c>
      <c r="Q6" s="61">
        <f t="shared" si="4"/>
        <v>100</v>
      </c>
      <c r="R6" s="58"/>
      <c r="S6" s="2" t="str">
        <f t="shared" si="5"/>
        <v>100</v>
      </c>
      <c r="T6" s="2"/>
      <c r="U6" s="2"/>
      <c r="V6" s="2"/>
      <c r="W6" s="2"/>
      <c r="X6" s="2"/>
      <c r="Y6" s="2"/>
      <c r="Z6" s="2"/>
    </row>
    <row r="7">
      <c r="A7" s="58">
        <v>5.0</v>
      </c>
      <c r="B7" s="59" t="str">
        <f>'Attendance Sheet'!C12</f>
        <v>Elina Bista</v>
      </c>
      <c r="C7" s="58" t="s">
        <v>113</v>
      </c>
      <c r="D7" s="58" t="s">
        <v>114</v>
      </c>
      <c r="E7" s="60" t="s">
        <v>115</v>
      </c>
      <c r="F7" s="58">
        <v>2.0</v>
      </c>
      <c r="G7" s="58" t="s">
        <v>116</v>
      </c>
      <c r="H7" s="61">
        <v>3.0</v>
      </c>
      <c r="I7" s="58">
        <v>3.0</v>
      </c>
      <c r="J7" s="61">
        <f t="shared" si="1"/>
        <v>100</v>
      </c>
      <c r="K7" s="61">
        <v>3.0</v>
      </c>
      <c r="L7" s="58">
        <v>3.0</v>
      </c>
      <c r="M7" s="62">
        <f t="shared" si="2"/>
        <v>100</v>
      </c>
      <c r="N7" s="61">
        <v>3.0</v>
      </c>
      <c r="O7" s="58">
        <v>3.0</v>
      </c>
      <c r="P7" s="61">
        <f t="shared" si="3"/>
        <v>100</v>
      </c>
      <c r="Q7" s="61">
        <f t="shared" si="4"/>
        <v>100</v>
      </c>
      <c r="R7" s="58"/>
      <c r="S7" s="2" t="str">
        <f t="shared" si="5"/>
        <v>100</v>
      </c>
      <c r="T7" s="2"/>
      <c r="U7" s="2"/>
      <c r="V7" s="2"/>
      <c r="W7" s="2"/>
      <c r="X7" s="2"/>
      <c r="Y7" s="2"/>
      <c r="Z7" s="2"/>
    </row>
    <row r="8">
      <c r="A8" s="58">
        <v>6.0</v>
      </c>
      <c r="B8" s="59" t="str">
        <f>'Attendance Sheet'!C13</f>
        <v>Firoj Ansari</v>
      </c>
      <c r="C8" s="58" t="s">
        <v>113</v>
      </c>
      <c r="D8" s="58" t="s">
        <v>114</v>
      </c>
      <c r="E8" s="60" t="s">
        <v>115</v>
      </c>
      <c r="F8" s="58">
        <v>2.0</v>
      </c>
      <c r="G8" s="58" t="s">
        <v>116</v>
      </c>
      <c r="H8" s="61">
        <v>3.0</v>
      </c>
      <c r="I8" s="58">
        <v>2.0</v>
      </c>
      <c r="J8" s="61">
        <f t="shared" si="1"/>
        <v>66.66666667</v>
      </c>
      <c r="K8" s="61">
        <v>3.0</v>
      </c>
      <c r="L8" s="58">
        <v>2.0</v>
      </c>
      <c r="M8" s="62">
        <f t="shared" si="2"/>
        <v>66.66666667</v>
      </c>
      <c r="N8" s="61">
        <v>3.0</v>
      </c>
      <c r="O8" s="58">
        <v>1.0</v>
      </c>
      <c r="P8" s="61">
        <f t="shared" si="3"/>
        <v>33.33333333</v>
      </c>
      <c r="Q8" s="61">
        <f t="shared" si="4"/>
        <v>55.55555556</v>
      </c>
      <c r="R8" s="58"/>
      <c r="S8" s="2" t="str">
        <f t="shared" si="5"/>
        <v>56</v>
      </c>
      <c r="T8" s="2"/>
      <c r="U8" s="2"/>
      <c r="V8" s="2"/>
      <c r="W8" s="2"/>
      <c r="X8" s="2"/>
      <c r="Y8" s="2"/>
      <c r="Z8" s="2"/>
    </row>
    <row r="9">
      <c r="A9" s="58">
        <v>7.0</v>
      </c>
      <c r="B9" s="59" t="str">
        <f>'Attendance Sheet'!C14</f>
        <v>Gaurav Kafle</v>
      </c>
      <c r="C9" s="58" t="s">
        <v>113</v>
      </c>
      <c r="D9" s="58" t="s">
        <v>114</v>
      </c>
      <c r="E9" s="60" t="s">
        <v>115</v>
      </c>
      <c r="F9" s="58">
        <v>2.0</v>
      </c>
      <c r="G9" s="58" t="s">
        <v>116</v>
      </c>
      <c r="H9" s="61">
        <v>3.0</v>
      </c>
      <c r="I9" s="58">
        <v>3.0</v>
      </c>
      <c r="J9" s="61">
        <f t="shared" si="1"/>
        <v>100</v>
      </c>
      <c r="K9" s="61">
        <v>3.0</v>
      </c>
      <c r="L9" s="58">
        <v>3.0</v>
      </c>
      <c r="M9" s="62">
        <f t="shared" si="2"/>
        <v>100</v>
      </c>
      <c r="N9" s="61">
        <v>3.0</v>
      </c>
      <c r="O9" s="58">
        <v>3.0</v>
      </c>
      <c r="P9" s="61">
        <f t="shared" si="3"/>
        <v>100</v>
      </c>
      <c r="Q9" s="61">
        <f t="shared" si="4"/>
        <v>100</v>
      </c>
      <c r="R9" s="58"/>
      <c r="S9" s="2" t="str">
        <f t="shared" si="5"/>
        <v>100</v>
      </c>
      <c r="T9" s="2"/>
      <c r="U9" s="2"/>
      <c r="V9" s="2"/>
      <c r="W9" s="2"/>
      <c r="X9" s="2"/>
      <c r="Y9" s="2"/>
      <c r="Z9" s="2"/>
    </row>
    <row r="10">
      <c r="A10" s="58">
        <v>8.0</v>
      </c>
      <c r="B10" s="59" t="str">
        <f>'Attendance Sheet'!C15</f>
        <v>Hema Lama</v>
      </c>
      <c r="C10" s="58" t="s">
        <v>113</v>
      </c>
      <c r="D10" s="58" t="s">
        <v>114</v>
      </c>
      <c r="E10" s="60" t="s">
        <v>115</v>
      </c>
      <c r="F10" s="58">
        <v>2.0</v>
      </c>
      <c r="G10" s="58" t="s">
        <v>116</v>
      </c>
      <c r="H10" s="61">
        <v>3.0</v>
      </c>
      <c r="I10" s="58">
        <v>2.0</v>
      </c>
      <c r="J10" s="61">
        <f t="shared" si="1"/>
        <v>66.66666667</v>
      </c>
      <c r="K10" s="61">
        <v>3.0</v>
      </c>
      <c r="L10" s="58">
        <v>3.0</v>
      </c>
      <c r="M10" s="62">
        <f t="shared" si="2"/>
        <v>100</v>
      </c>
      <c r="N10" s="61">
        <v>3.0</v>
      </c>
      <c r="O10" s="58">
        <v>2.0</v>
      </c>
      <c r="P10" s="61">
        <f t="shared" si="3"/>
        <v>66.66666667</v>
      </c>
      <c r="Q10" s="61">
        <f t="shared" si="4"/>
        <v>77.77777778</v>
      </c>
      <c r="R10" s="58"/>
      <c r="S10" s="2" t="str">
        <f t="shared" si="5"/>
        <v>78</v>
      </c>
      <c r="T10" s="2"/>
      <c r="U10" s="2"/>
      <c r="V10" s="2"/>
      <c r="W10" s="2"/>
      <c r="X10" s="2"/>
      <c r="Y10" s="2"/>
      <c r="Z10" s="2"/>
    </row>
    <row r="11">
      <c r="A11" s="58">
        <v>9.0</v>
      </c>
      <c r="B11" s="59" t="str">
        <f>'Attendance Sheet'!C16</f>
        <v>Ishan Koirala</v>
      </c>
      <c r="C11" s="58" t="s">
        <v>113</v>
      </c>
      <c r="D11" s="58" t="s">
        <v>114</v>
      </c>
      <c r="E11" s="60" t="s">
        <v>115</v>
      </c>
      <c r="F11" s="58">
        <v>2.0</v>
      </c>
      <c r="G11" s="58" t="s">
        <v>116</v>
      </c>
      <c r="H11" s="61">
        <v>3.0</v>
      </c>
      <c r="I11" s="58">
        <v>1.0</v>
      </c>
      <c r="J11" s="61">
        <f t="shared" si="1"/>
        <v>33.33333333</v>
      </c>
      <c r="K11" s="61">
        <v>3.0</v>
      </c>
      <c r="L11" s="58">
        <v>1.0</v>
      </c>
      <c r="M11" s="62">
        <f t="shared" si="2"/>
        <v>33.33333333</v>
      </c>
      <c r="N11" s="61">
        <v>3.0</v>
      </c>
      <c r="O11" s="58">
        <v>1.0</v>
      </c>
      <c r="P11" s="61">
        <f t="shared" si="3"/>
        <v>33.33333333</v>
      </c>
      <c r="Q11" s="61">
        <f t="shared" si="4"/>
        <v>33.33333333</v>
      </c>
      <c r="R11" s="58"/>
      <c r="S11" s="2" t="str">
        <f t="shared" si="5"/>
        <v>33</v>
      </c>
      <c r="T11" s="2"/>
      <c r="U11" s="2"/>
      <c r="V11" s="2"/>
      <c r="W11" s="2"/>
      <c r="X11" s="2"/>
      <c r="Y11" s="2"/>
      <c r="Z11" s="2"/>
    </row>
    <row r="12">
      <c r="A12" s="58">
        <v>10.0</v>
      </c>
      <c r="B12" s="59" t="str">
        <f>'Attendance Sheet'!C17</f>
        <v>Juna Khadgi</v>
      </c>
      <c r="C12" s="58" t="s">
        <v>113</v>
      </c>
      <c r="D12" s="58" t="s">
        <v>114</v>
      </c>
      <c r="E12" s="60" t="s">
        <v>115</v>
      </c>
      <c r="F12" s="58">
        <v>2.0</v>
      </c>
      <c r="G12" s="58" t="s">
        <v>116</v>
      </c>
      <c r="H12" s="61">
        <v>3.0</v>
      </c>
      <c r="I12" s="58">
        <v>3.0</v>
      </c>
      <c r="J12" s="61">
        <f t="shared" si="1"/>
        <v>100</v>
      </c>
      <c r="K12" s="61">
        <v>3.0</v>
      </c>
      <c r="L12" s="58">
        <v>3.0</v>
      </c>
      <c r="M12" s="62">
        <f t="shared" si="2"/>
        <v>100</v>
      </c>
      <c r="N12" s="61">
        <v>3.0</v>
      </c>
      <c r="O12" s="58">
        <v>3.0</v>
      </c>
      <c r="P12" s="61">
        <f t="shared" si="3"/>
        <v>100</v>
      </c>
      <c r="Q12" s="61">
        <f t="shared" si="4"/>
        <v>100</v>
      </c>
      <c r="R12" s="58"/>
      <c r="S12" s="2" t="str">
        <f t="shared" si="5"/>
        <v>100</v>
      </c>
      <c r="T12" s="2"/>
      <c r="U12" s="2"/>
      <c r="V12" s="2"/>
      <c r="W12" s="2"/>
      <c r="X12" s="2"/>
      <c r="Y12" s="2"/>
      <c r="Z12" s="2"/>
    </row>
    <row r="13">
      <c r="A13" s="58">
        <v>11.0</v>
      </c>
      <c r="B13" s="59" t="str">
        <f>'Attendance Sheet'!C18</f>
        <v>Kamal Rokaya</v>
      </c>
      <c r="C13" s="58" t="s">
        <v>113</v>
      </c>
      <c r="D13" s="58" t="s">
        <v>114</v>
      </c>
      <c r="E13" s="60" t="s">
        <v>115</v>
      </c>
      <c r="F13" s="58">
        <v>2.0</v>
      </c>
      <c r="G13" s="58" t="s">
        <v>116</v>
      </c>
      <c r="H13" s="61">
        <v>3.0</v>
      </c>
      <c r="I13" s="58">
        <v>3.0</v>
      </c>
      <c r="J13" s="61">
        <f t="shared" si="1"/>
        <v>100</v>
      </c>
      <c r="K13" s="61">
        <v>3.0</v>
      </c>
      <c r="L13" s="58">
        <v>3.0</v>
      </c>
      <c r="M13" s="62">
        <f t="shared" si="2"/>
        <v>100</v>
      </c>
      <c r="N13" s="61">
        <v>3.0</v>
      </c>
      <c r="O13" s="58">
        <v>3.0</v>
      </c>
      <c r="P13" s="61">
        <f t="shared" si="3"/>
        <v>100</v>
      </c>
      <c r="Q13" s="61">
        <f t="shared" si="4"/>
        <v>100</v>
      </c>
      <c r="R13" s="58"/>
      <c r="S13" s="2" t="str">
        <f t="shared" si="5"/>
        <v>100</v>
      </c>
      <c r="T13" s="2"/>
      <c r="U13" s="2"/>
      <c r="V13" s="2"/>
      <c r="W13" s="2"/>
      <c r="X13" s="2"/>
      <c r="Y13" s="2"/>
      <c r="Z13" s="2"/>
    </row>
    <row r="14">
      <c r="A14" s="58">
        <v>12.0</v>
      </c>
      <c r="B14" s="59" t="str">
        <f>'Attendance Sheet'!C19</f>
        <v>Lalita Budhathoki</v>
      </c>
      <c r="C14" s="58" t="s">
        <v>113</v>
      </c>
      <c r="D14" s="58" t="s">
        <v>114</v>
      </c>
      <c r="E14" s="60" t="s">
        <v>115</v>
      </c>
      <c r="F14" s="58">
        <v>2.0</v>
      </c>
      <c r="G14" s="58" t="s">
        <v>116</v>
      </c>
      <c r="H14" s="61">
        <v>3.0</v>
      </c>
      <c r="I14" s="58">
        <v>3.0</v>
      </c>
      <c r="J14" s="61">
        <f t="shared" si="1"/>
        <v>100</v>
      </c>
      <c r="K14" s="61">
        <v>3.0</v>
      </c>
      <c r="L14" s="58">
        <v>3.0</v>
      </c>
      <c r="M14" s="62">
        <f t="shared" si="2"/>
        <v>100</v>
      </c>
      <c r="N14" s="61">
        <v>3.0</v>
      </c>
      <c r="O14" s="58">
        <v>3.0</v>
      </c>
      <c r="P14" s="61">
        <f t="shared" si="3"/>
        <v>100</v>
      </c>
      <c r="Q14" s="61">
        <f t="shared" si="4"/>
        <v>100</v>
      </c>
      <c r="R14" s="58"/>
      <c r="S14" s="2" t="str">
        <f t="shared" si="5"/>
        <v>100</v>
      </c>
      <c r="T14" s="2"/>
      <c r="U14" s="2"/>
      <c r="V14" s="2"/>
      <c r="W14" s="2"/>
      <c r="X14" s="2"/>
      <c r="Y14" s="2"/>
      <c r="Z14" s="2"/>
    </row>
    <row r="15">
      <c r="A15" s="58">
        <v>13.0</v>
      </c>
      <c r="B15" s="59" t="str">
        <f>'Attendance Sheet'!C20</f>
        <v>Manoj Dong</v>
      </c>
      <c r="C15" s="58" t="s">
        <v>113</v>
      </c>
      <c r="D15" s="58" t="s">
        <v>114</v>
      </c>
      <c r="E15" s="60" t="s">
        <v>115</v>
      </c>
      <c r="F15" s="58">
        <v>2.0</v>
      </c>
      <c r="G15" s="58" t="s">
        <v>116</v>
      </c>
      <c r="H15" s="61">
        <v>3.0</v>
      </c>
      <c r="I15" s="58">
        <v>1.0</v>
      </c>
      <c r="J15" s="61">
        <f t="shared" si="1"/>
        <v>33.33333333</v>
      </c>
      <c r="K15" s="61">
        <v>3.0</v>
      </c>
      <c r="L15" s="58">
        <v>1.0</v>
      </c>
      <c r="M15" s="62">
        <f t="shared" si="2"/>
        <v>33.33333333</v>
      </c>
      <c r="N15" s="61">
        <v>3.0</v>
      </c>
      <c r="O15" s="58">
        <v>1.0</v>
      </c>
      <c r="P15" s="61">
        <f t="shared" si="3"/>
        <v>33.33333333</v>
      </c>
      <c r="Q15" s="61">
        <f t="shared" si="4"/>
        <v>33.33333333</v>
      </c>
      <c r="R15" s="2"/>
      <c r="S15" s="2" t="str">
        <f t="shared" si="5"/>
        <v>33</v>
      </c>
      <c r="T15" s="2"/>
      <c r="U15" s="2"/>
      <c r="V15" s="2"/>
      <c r="W15" s="2"/>
      <c r="X15" s="2"/>
      <c r="Y15" s="2"/>
      <c r="Z15" s="2"/>
    </row>
    <row r="16">
      <c r="A16" s="58">
        <v>14.0</v>
      </c>
      <c r="B16" s="59" t="str">
        <f>'Attendance Sheet'!C21</f>
        <v>Nirmala Karki</v>
      </c>
      <c r="C16" s="58" t="s">
        <v>113</v>
      </c>
      <c r="D16" s="58" t="s">
        <v>114</v>
      </c>
      <c r="E16" s="60" t="s">
        <v>115</v>
      </c>
      <c r="F16" s="58">
        <v>2.0</v>
      </c>
      <c r="G16" s="58" t="s">
        <v>116</v>
      </c>
      <c r="H16" s="61">
        <v>3.0</v>
      </c>
      <c r="I16" s="58">
        <v>3.0</v>
      </c>
      <c r="J16" s="61">
        <f t="shared" si="1"/>
        <v>100</v>
      </c>
      <c r="K16" s="61">
        <v>3.0</v>
      </c>
      <c r="L16" s="46">
        <v>3.0</v>
      </c>
      <c r="M16" s="62">
        <f t="shared" si="2"/>
        <v>100</v>
      </c>
      <c r="N16" s="61">
        <v>3.0</v>
      </c>
      <c r="O16" s="58">
        <v>2.0</v>
      </c>
      <c r="P16" s="61">
        <f t="shared" si="3"/>
        <v>66.66666667</v>
      </c>
      <c r="Q16" s="61">
        <f t="shared" si="4"/>
        <v>88.88888889</v>
      </c>
      <c r="R16" s="2"/>
      <c r="S16" s="2" t="str">
        <f t="shared" si="5"/>
        <v>89</v>
      </c>
      <c r="T16" s="2"/>
      <c r="U16" s="2"/>
      <c r="V16" s="2"/>
      <c r="W16" s="2"/>
      <c r="X16" s="2"/>
      <c r="Y16" s="2"/>
      <c r="Z16" s="2"/>
    </row>
    <row r="17">
      <c r="A17" s="58">
        <v>15.0</v>
      </c>
      <c r="B17" s="59" t="str">
        <f>'Attendance Sheet'!C22</f>
        <v>Omkar Pokharel</v>
      </c>
      <c r="C17" s="58" t="s">
        <v>113</v>
      </c>
      <c r="D17" s="58" t="s">
        <v>114</v>
      </c>
      <c r="E17" s="60" t="s">
        <v>115</v>
      </c>
      <c r="F17" s="58">
        <v>2.0</v>
      </c>
      <c r="G17" s="58" t="s">
        <v>116</v>
      </c>
      <c r="H17" s="61">
        <v>3.0</v>
      </c>
      <c r="I17" s="58">
        <v>3.0</v>
      </c>
      <c r="J17" s="61">
        <f t="shared" si="1"/>
        <v>100</v>
      </c>
      <c r="K17" s="61">
        <v>3.0</v>
      </c>
      <c r="L17" s="58">
        <v>3.0</v>
      </c>
      <c r="M17" s="62">
        <f t="shared" si="2"/>
        <v>100</v>
      </c>
      <c r="N17" s="61">
        <v>3.0</v>
      </c>
      <c r="O17" s="58">
        <v>3.0</v>
      </c>
      <c r="P17" s="61">
        <f t="shared" si="3"/>
        <v>100</v>
      </c>
      <c r="Q17" s="61">
        <f t="shared" si="4"/>
        <v>100</v>
      </c>
      <c r="R17" s="58"/>
      <c r="S17" s="2" t="str">
        <f t="shared" si="5"/>
        <v>100</v>
      </c>
      <c r="T17" s="2"/>
      <c r="U17" s="2"/>
      <c r="V17" s="2"/>
      <c r="W17" s="2"/>
      <c r="X17" s="2"/>
      <c r="Y17" s="2"/>
      <c r="Z17" s="2"/>
    </row>
    <row r="18">
      <c r="A18" s="58">
        <v>16.0</v>
      </c>
      <c r="B18" s="59" t="str">
        <f>'Attendance Sheet'!C23</f>
        <v>Pabitra Dhakal</v>
      </c>
      <c r="C18" s="58" t="s">
        <v>113</v>
      </c>
      <c r="D18" s="58" t="s">
        <v>114</v>
      </c>
      <c r="E18" s="60" t="s">
        <v>115</v>
      </c>
      <c r="F18" s="58">
        <v>2.0</v>
      </c>
      <c r="G18" s="58" t="s">
        <v>116</v>
      </c>
      <c r="H18" s="61">
        <v>3.0</v>
      </c>
      <c r="I18" s="58">
        <v>3.0</v>
      </c>
      <c r="J18" s="61">
        <f t="shared" si="1"/>
        <v>100</v>
      </c>
      <c r="K18" s="61">
        <v>3.0</v>
      </c>
      <c r="L18" s="58">
        <v>2.0</v>
      </c>
      <c r="M18" s="62">
        <f t="shared" si="2"/>
        <v>66.66666667</v>
      </c>
      <c r="N18" s="61">
        <v>3.0</v>
      </c>
      <c r="O18" s="58">
        <v>2.0</v>
      </c>
      <c r="P18" s="61">
        <f t="shared" si="3"/>
        <v>66.66666667</v>
      </c>
      <c r="Q18" s="61">
        <f t="shared" si="4"/>
        <v>77.77777778</v>
      </c>
      <c r="R18" s="2"/>
      <c r="S18" s="2" t="str">
        <f t="shared" si="5"/>
        <v>78</v>
      </c>
      <c r="T18" s="2"/>
      <c r="U18" s="2"/>
      <c r="V18" s="2"/>
      <c r="W18" s="2"/>
      <c r="X18" s="2"/>
      <c r="Y18" s="2"/>
      <c r="Z18" s="2"/>
    </row>
    <row r="19">
      <c r="A19" s="58">
        <v>17.0</v>
      </c>
      <c r="B19" s="59" t="str">
        <f>'Attendance Sheet'!C24</f>
        <v>Qasim Miya</v>
      </c>
      <c r="C19" s="58" t="s">
        <v>113</v>
      </c>
      <c r="D19" s="58" t="s">
        <v>114</v>
      </c>
      <c r="E19" s="60" t="s">
        <v>115</v>
      </c>
      <c r="F19" s="58">
        <v>2.0</v>
      </c>
      <c r="G19" s="58" t="s">
        <v>116</v>
      </c>
      <c r="H19" s="61">
        <v>3.0</v>
      </c>
      <c r="I19" s="58">
        <v>3.0</v>
      </c>
      <c r="J19" s="61">
        <f t="shared" si="1"/>
        <v>100</v>
      </c>
      <c r="K19" s="61">
        <v>3.0</v>
      </c>
      <c r="L19" s="58">
        <v>3.0</v>
      </c>
      <c r="M19" s="62">
        <f t="shared" si="2"/>
        <v>100</v>
      </c>
      <c r="N19" s="61">
        <v>3.0</v>
      </c>
      <c r="O19" s="58">
        <v>2.0</v>
      </c>
      <c r="P19" s="61">
        <f t="shared" si="3"/>
        <v>66.66666667</v>
      </c>
      <c r="Q19" s="61">
        <f t="shared" si="4"/>
        <v>88.88888889</v>
      </c>
      <c r="R19" s="2"/>
      <c r="S19" s="2" t="str">
        <f t="shared" si="5"/>
        <v>89</v>
      </c>
      <c r="T19" s="2"/>
      <c r="U19" s="2"/>
      <c r="V19" s="2"/>
      <c r="W19" s="2"/>
      <c r="X19" s="2"/>
      <c r="Y19" s="2"/>
      <c r="Z19" s="2"/>
    </row>
    <row r="20">
      <c r="A20" s="58">
        <v>18.0</v>
      </c>
      <c r="B20" s="59" t="str">
        <f>'Attendance Sheet'!C25</f>
        <v>Ramesh Suwal</v>
      </c>
      <c r="C20" s="58" t="s">
        <v>113</v>
      </c>
      <c r="D20" s="58" t="s">
        <v>114</v>
      </c>
      <c r="E20" s="60" t="s">
        <v>115</v>
      </c>
      <c r="F20" s="58">
        <v>2.0</v>
      </c>
      <c r="G20" s="58" t="s">
        <v>116</v>
      </c>
      <c r="H20" s="61">
        <v>3.0</v>
      </c>
      <c r="I20" s="58">
        <v>2.0</v>
      </c>
      <c r="J20" s="61">
        <f t="shared" si="1"/>
        <v>66.66666667</v>
      </c>
      <c r="K20" s="61">
        <v>3.0</v>
      </c>
      <c r="L20" s="58">
        <v>2.0</v>
      </c>
      <c r="M20" s="62">
        <f t="shared" si="2"/>
        <v>66.66666667</v>
      </c>
      <c r="N20" s="61">
        <v>3.0</v>
      </c>
      <c r="O20" s="58">
        <v>3.0</v>
      </c>
      <c r="P20" s="61">
        <f t="shared" si="3"/>
        <v>100</v>
      </c>
      <c r="Q20" s="61">
        <f t="shared" si="4"/>
        <v>77.77777778</v>
      </c>
      <c r="R20" s="2"/>
      <c r="S20" s="2" t="str">
        <f t="shared" si="5"/>
        <v>78</v>
      </c>
      <c r="T20" s="2"/>
      <c r="U20" s="2"/>
      <c r="V20" s="2"/>
      <c r="W20" s="2"/>
      <c r="X20" s="2"/>
      <c r="Y20" s="2"/>
      <c r="Z20" s="2"/>
    </row>
    <row r="21">
      <c r="A21" s="58">
        <v>19.0</v>
      </c>
      <c r="B21" s="59" t="str">
        <f>'Attendance Sheet'!C26</f>
        <v>Sanjay Khadka</v>
      </c>
      <c r="C21" s="58" t="s">
        <v>113</v>
      </c>
      <c r="D21" s="58" t="s">
        <v>114</v>
      </c>
      <c r="E21" s="60" t="s">
        <v>115</v>
      </c>
      <c r="F21" s="58">
        <v>2.0</v>
      </c>
      <c r="G21" s="58" t="s">
        <v>116</v>
      </c>
      <c r="H21" s="61">
        <v>3.0</v>
      </c>
      <c r="I21" s="58">
        <v>2.0</v>
      </c>
      <c r="J21" s="61">
        <f t="shared" si="1"/>
        <v>66.66666667</v>
      </c>
      <c r="K21" s="61">
        <v>3.0</v>
      </c>
      <c r="L21" s="58">
        <v>2.0</v>
      </c>
      <c r="M21" s="62">
        <f t="shared" si="2"/>
        <v>66.66666667</v>
      </c>
      <c r="N21" s="61">
        <v>3.0</v>
      </c>
      <c r="O21" s="58">
        <v>3.0</v>
      </c>
      <c r="P21" s="61">
        <f t="shared" si="3"/>
        <v>100</v>
      </c>
      <c r="Q21" s="61">
        <f t="shared" si="4"/>
        <v>77.77777778</v>
      </c>
      <c r="R21" s="58"/>
      <c r="S21" s="2" t="str">
        <f t="shared" si="5"/>
        <v>78</v>
      </c>
      <c r="T21" s="2"/>
      <c r="U21" s="2"/>
      <c r="V21" s="2"/>
      <c r="W21" s="2"/>
      <c r="X21" s="2"/>
      <c r="Y21" s="2"/>
      <c r="Z21" s="2"/>
    </row>
    <row r="22">
      <c r="A22" s="58">
        <v>20.0</v>
      </c>
      <c r="B22" s="59" t="str">
        <f>'Attendance Sheet'!C27</f>
        <v>Tara Ghale</v>
      </c>
      <c r="C22" s="58" t="s">
        <v>113</v>
      </c>
      <c r="D22" s="58" t="s">
        <v>114</v>
      </c>
      <c r="E22" s="60" t="s">
        <v>115</v>
      </c>
      <c r="F22" s="58">
        <v>2.0</v>
      </c>
      <c r="G22" s="58" t="s">
        <v>116</v>
      </c>
      <c r="H22" s="61">
        <v>3.0</v>
      </c>
      <c r="I22" s="58">
        <v>3.0</v>
      </c>
      <c r="J22" s="61">
        <f t="shared" si="1"/>
        <v>100</v>
      </c>
      <c r="K22" s="61">
        <v>3.0</v>
      </c>
      <c r="L22" s="58">
        <v>2.0</v>
      </c>
      <c r="M22" s="62">
        <f t="shared" si="2"/>
        <v>66.66666667</v>
      </c>
      <c r="N22" s="61">
        <v>3.0</v>
      </c>
      <c r="O22" s="58">
        <v>3.0</v>
      </c>
      <c r="P22" s="61">
        <f t="shared" si="3"/>
        <v>100</v>
      </c>
      <c r="Q22" s="61">
        <f t="shared" si="4"/>
        <v>88.88888889</v>
      </c>
      <c r="R22" s="2"/>
      <c r="S22" s="2" t="str">
        <f t="shared" si="5"/>
        <v>89</v>
      </c>
      <c r="T22" s="2"/>
      <c r="U22" s="2"/>
      <c r="V22" s="2"/>
      <c r="W22" s="2"/>
      <c r="X22" s="2"/>
      <c r="Y22" s="2"/>
      <c r="Z22" s="2"/>
    </row>
    <row r="23">
      <c r="A23" s="58">
        <v>21.0</v>
      </c>
      <c r="B23" s="59" t="str">
        <f>'Attendance Sheet'!C28</f>
        <v>Ujjwal Basnet</v>
      </c>
      <c r="C23" s="58" t="s">
        <v>113</v>
      </c>
      <c r="D23" s="58" t="s">
        <v>114</v>
      </c>
      <c r="E23" s="60" t="s">
        <v>115</v>
      </c>
      <c r="F23" s="58">
        <v>2.0</v>
      </c>
      <c r="G23" s="58" t="s">
        <v>116</v>
      </c>
      <c r="H23" s="61">
        <v>3.0</v>
      </c>
      <c r="I23" s="58">
        <v>2.0</v>
      </c>
      <c r="J23" s="61">
        <f t="shared" si="1"/>
        <v>66.66666667</v>
      </c>
      <c r="K23" s="61">
        <v>3.0</v>
      </c>
      <c r="L23" s="58">
        <v>2.0</v>
      </c>
      <c r="M23" s="62">
        <f t="shared" si="2"/>
        <v>66.66666667</v>
      </c>
      <c r="N23" s="61">
        <v>3.0</v>
      </c>
      <c r="O23" s="58">
        <v>2.0</v>
      </c>
      <c r="P23" s="61">
        <f t="shared" si="3"/>
        <v>66.66666667</v>
      </c>
      <c r="Q23" s="61">
        <f t="shared" si="4"/>
        <v>66.66666667</v>
      </c>
      <c r="R23" s="58"/>
      <c r="S23" s="2" t="str">
        <f t="shared" si="5"/>
        <v>67</v>
      </c>
      <c r="T23" s="2"/>
      <c r="U23" s="2"/>
      <c r="V23" s="2"/>
      <c r="W23" s="2"/>
      <c r="X23" s="2"/>
      <c r="Y23" s="2"/>
      <c r="Z23" s="2"/>
    </row>
    <row r="24">
      <c r="A24" s="58">
        <v>22.0</v>
      </c>
      <c r="B24" s="59" t="str">
        <f>'Attendance Sheet'!C29</f>
        <v>Bipin Sigdel</v>
      </c>
      <c r="C24" s="58" t="s">
        <v>113</v>
      </c>
      <c r="D24" s="58" t="s">
        <v>114</v>
      </c>
      <c r="E24" s="60" t="s">
        <v>115</v>
      </c>
      <c r="F24" s="58">
        <v>2.0</v>
      </c>
      <c r="G24" s="58" t="s">
        <v>116</v>
      </c>
      <c r="H24" s="61">
        <v>3.0</v>
      </c>
      <c r="I24" s="58">
        <v>2.0</v>
      </c>
      <c r="J24" s="61">
        <f t="shared" si="1"/>
        <v>66.66666667</v>
      </c>
      <c r="K24" s="61">
        <v>3.0</v>
      </c>
      <c r="L24" s="58">
        <v>2.0</v>
      </c>
      <c r="M24" s="62">
        <f t="shared" si="2"/>
        <v>66.66666667</v>
      </c>
      <c r="N24" s="61">
        <v>3.0</v>
      </c>
      <c r="O24" s="58">
        <v>3.0</v>
      </c>
      <c r="P24" s="61">
        <f t="shared" si="3"/>
        <v>100</v>
      </c>
      <c r="Q24" s="61">
        <f t="shared" si="4"/>
        <v>77.77777778</v>
      </c>
      <c r="R24" s="58"/>
      <c r="S24" s="2" t="str">
        <f t="shared" si="5"/>
        <v>78</v>
      </c>
      <c r="T24" s="2"/>
      <c r="U24" s="2"/>
      <c r="V24" s="2"/>
      <c r="W24" s="2"/>
      <c r="X24" s="2"/>
      <c r="Y24" s="2"/>
      <c r="Z24" s="2"/>
    </row>
    <row r="25">
      <c r="A25" s="58">
        <v>23.0</v>
      </c>
      <c r="B25" s="59" t="str">
        <f>'Attendance Sheet'!C30</f>
        <v>Chetana Thagunna</v>
      </c>
      <c r="C25" s="58" t="s">
        <v>113</v>
      </c>
      <c r="D25" s="58" t="s">
        <v>114</v>
      </c>
      <c r="E25" s="60" t="s">
        <v>115</v>
      </c>
      <c r="F25" s="58">
        <v>2.0</v>
      </c>
      <c r="G25" s="58" t="s">
        <v>116</v>
      </c>
      <c r="H25" s="61">
        <v>3.0</v>
      </c>
      <c r="I25" s="58">
        <v>3.0</v>
      </c>
      <c r="J25" s="61">
        <f t="shared" si="1"/>
        <v>100</v>
      </c>
      <c r="K25" s="61">
        <v>3.0</v>
      </c>
      <c r="L25" s="58">
        <v>3.0</v>
      </c>
      <c r="M25" s="62">
        <f t="shared" si="2"/>
        <v>100</v>
      </c>
      <c r="N25" s="61">
        <v>3.0</v>
      </c>
      <c r="O25" s="58">
        <v>2.0</v>
      </c>
      <c r="P25" s="61">
        <f t="shared" si="3"/>
        <v>66.66666667</v>
      </c>
      <c r="Q25" s="61">
        <f t="shared" si="4"/>
        <v>88.88888889</v>
      </c>
      <c r="R25" s="58"/>
      <c r="S25" s="2" t="str">
        <f t="shared" si="5"/>
        <v>89</v>
      </c>
      <c r="T25" s="2"/>
      <c r="U25" s="2"/>
      <c r="V25" s="2"/>
      <c r="W25" s="2"/>
      <c r="X25" s="2"/>
      <c r="Y25" s="2"/>
      <c r="Z25" s="2"/>
    </row>
    <row r="26">
      <c r="A26" s="58">
        <v>24.0</v>
      </c>
      <c r="B26" s="59" t="str">
        <f>'Attendance Sheet'!C31</f>
        <v>Dev Rai</v>
      </c>
      <c r="C26" s="58" t="s">
        <v>113</v>
      </c>
      <c r="D26" s="58" t="s">
        <v>114</v>
      </c>
      <c r="E26" s="60" t="s">
        <v>115</v>
      </c>
      <c r="F26" s="58">
        <v>2.0</v>
      </c>
      <c r="G26" s="58" t="s">
        <v>116</v>
      </c>
      <c r="H26" s="61">
        <v>3.0</v>
      </c>
      <c r="I26" s="58">
        <v>2.0</v>
      </c>
      <c r="J26" s="61">
        <f t="shared" si="1"/>
        <v>66.66666667</v>
      </c>
      <c r="K26" s="61">
        <v>3.0</v>
      </c>
      <c r="L26" s="58">
        <v>2.0</v>
      </c>
      <c r="M26" s="62">
        <f t="shared" si="2"/>
        <v>66.66666667</v>
      </c>
      <c r="N26" s="61">
        <v>3.0</v>
      </c>
      <c r="O26" s="58">
        <v>1.0</v>
      </c>
      <c r="P26" s="61">
        <f t="shared" si="3"/>
        <v>33.33333333</v>
      </c>
      <c r="Q26" s="61">
        <f t="shared" si="4"/>
        <v>55.55555556</v>
      </c>
      <c r="R26" s="2"/>
      <c r="S26" s="2" t="str">
        <f t="shared" si="5"/>
        <v>56</v>
      </c>
      <c r="T26" s="2"/>
      <c r="U26" s="2"/>
      <c r="V26" s="2"/>
      <c r="W26" s="2"/>
      <c r="X26" s="2"/>
      <c r="Y26" s="2"/>
      <c r="Z26" s="2"/>
    </row>
    <row r="27">
      <c r="A27" s="58">
        <v>25.0</v>
      </c>
      <c r="B27" s="59" t="str">
        <f>'Attendance Sheet'!C32</f>
        <v>Esha Karki</v>
      </c>
      <c r="C27" s="58" t="s">
        <v>113</v>
      </c>
      <c r="D27" s="58" t="s">
        <v>114</v>
      </c>
      <c r="E27" s="60" t="s">
        <v>115</v>
      </c>
      <c r="F27" s="58">
        <v>2.0</v>
      </c>
      <c r="G27" s="58" t="s">
        <v>116</v>
      </c>
      <c r="H27" s="61">
        <v>3.0</v>
      </c>
      <c r="I27" s="58">
        <v>3.0</v>
      </c>
      <c r="J27" s="61">
        <f t="shared" si="1"/>
        <v>100</v>
      </c>
      <c r="K27" s="61">
        <v>3.0</v>
      </c>
      <c r="L27" s="58">
        <v>3.0</v>
      </c>
      <c r="M27" s="62">
        <f t="shared" si="2"/>
        <v>100</v>
      </c>
      <c r="N27" s="61">
        <v>3.0</v>
      </c>
      <c r="O27" s="58">
        <v>3.0</v>
      </c>
      <c r="P27" s="61">
        <f t="shared" si="3"/>
        <v>100</v>
      </c>
      <c r="Q27" s="61">
        <f t="shared" si="4"/>
        <v>100</v>
      </c>
      <c r="R27" s="58"/>
      <c r="S27" s="2" t="str">
        <f t="shared" si="5"/>
        <v>100</v>
      </c>
      <c r="T27" s="2"/>
      <c r="U27" s="2"/>
      <c r="V27" s="2"/>
      <c r="W27" s="2"/>
      <c r="X27" s="2"/>
      <c r="Y27" s="2"/>
      <c r="Z27" s="2"/>
    </row>
    <row r="28">
      <c r="A28" s="58">
        <v>26.0</v>
      </c>
      <c r="B28" s="59" t="str">
        <f>'Attendance Sheet'!C33</f>
        <v>Ganesh Baral</v>
      </c>
      <c r="C28" s="58" t="s">
        <v>113</v>
      </c>
      <c r="D28" s="58" t="s">
        <v>117</v>
      </c>
      <c r="E28" s="60" t="s">
        <v>115</v>
      </c>
      <c r="F28" s="58">
        <v>2.0</v>
      </c>
      <c r="G28" s="58" t="s">
        <v>116</v>
      </c>
      <c r="H28" s="61">
        <v>3.0</v>
      </c>
      <c r="I28" s="58">
        <v>3.0</v>
      </c>
      <c r="J28" s="61">
        <f t="shared" si="1"/>
        <v>100</v>
      </c>
      <c r="K28" s="61">
        <v>3.0</v>
      </c>
      <c r="L28" s="58">
        <v>3.0</v>
      </c>
      <c r="M28" s="62">
        <f t="shared" si="2"/>
        <v>100</v>
      </c>
      <c r="N28" s="61">
        <v>3.0</v>
      </c>
      <c r="O28" s="58">
        <v>3.0</v>
      </c>
      <c r="P28" s="61">
        <f t="shared" si="3"/>
        <v>100</v>
      </c>
      <c r="Q28" s="61">
        <f t="shared" si="4"/>
        <v>100</v>
      </c>
      <c r="R28" s="58"/>
      <c r="S28" s="2" t="str">
        <f t="shared" si="5"/>
        <v>100</v>
      </c>
      <c r="T28" s="2"/>
      <c r="U28" s="2"/>
      <c r="V28" s="2"/>
      <c r="W28" s="2"/>
      <c r="X28" s="2"/>
      <c r="Y28" s="2"/>
      <c r="Z28" s="2"/>
    </row>
    <row r="29">
      <c r="A29" s="58">
        <v>27.0</v>
      </c>
      <c r="B29" s="59" t="str">
        <f>'Attendance Sheet'!C34</f>
        <v>Hari Bogati</v>
      </c>
      <c r="C29" s="58" t="s">
        <v>113</v>
      </c>
      <c r="D29" s="58" t="s">
        <v>118</v>
      </c>
      <c r="E29" s="60" t="s">
        <v>115</v>
      </c>
      <c r="F29" s="58">
        <v>2.0</v>
      </c>
      <c r="G29" s="58" t="s">
        <v>116</v>
      </c>
      <c r="H29" s="61">
        <v>3.0</v>
      </c>
      <c r="I29" s="58">
        <v>3.0</v>
      </c>
      <c r="J29" s="61">
        <f t="shared" si="1"/>
        <v>100</v>
      </c>
      <c r="K29" s="61">
        <v>3.0</v>
      </c>
      <c r="L29" s="58">
        <v>3.0</v>
      </c>
      <c r="M29" s="62">
        <f t="shared" si="2"/>
        <v>100</v>
      </c>
      <c r="N29" s="61">
        <v>3.0</v>
      </c>
      <c r="O29" s="58">
        <v>3.0</v>
      </c>
      <c r="P29" s="61">
        <f t="shared" si="3"/>
        <v>100</v>
      </c>
      <c r="Q29" s="61">
        <f t="shared" si="4"/>
        <v>100</v>
      </c>
      <c r="R29" s="58"/>
      <c r="S29" s="2" t="str">
        <f t="shared" si="5"/>
        <v>100</v>
      </c>
      <c r="T29" s="2"/>
      <c r="U29" s="2"/>
      <c r="V29" s="2"/>
      <c r="W29" s="2"/>
      <c r="X29" s="2"/>
      <c r="Y29" s="2"/>
      <c r="Z29" s="2"/>
    </row>
    <row r="30">
      <c r="A30" s="58">
        <v>28.0</v>
      </c>
      <c r="B30" s="59" t="str">
        <f>'Attendance Sheet'!C35</f>
        <v>Indira Sapkota</v>
      </c>
      <c r="C30" s="58" t="s">
        <v>113</v>
      </c>
      <c r="D30" s="58" t="s">
        <v>119</v>
      </c>
      <c r="E30" s="60" t="s">
        <v>115</v>
      </c>
      <c r="F30" s="58">
        <v>2.0</v>
      </c>
      <c r="G30" s="58" t="s">
        <v>116</v>
      </c>
      <c r="H30" s="61">
        <v>3.0</v>
      </c>
      <c r="I30" s="58">
        <v>3.0</v>
      </c>
      <c r="J30" s="61">
        <f t="shared" si="1"/>
        <v>100</v>
      </c>
      <c r="K30" s="61">
        <v>3.0</v>
      </c>
      <c r="L30" s="58">
        <v>3.0</v>
      </c>
      <c r="M30" s="62">
        <f t="shared" si="2"/>
        <v>100</v>
      </c>
      <c r="N30" s="61">
        <v>3.0</v>
      </c>
      <c r="O30" s="58">
        <v>3.0</v>
      </c>
      <c r="P30" s="61">
        <f t="shared" si="3"/>
        <v>100</v>
      </c>
      <c r="Q30" s="61">
        <f t="shared" si="4"/>
        <v>100</v>
      </c>
      <c r="R30" s="58"/>
      <c r="S30" s="2" t="str">
        <f t="shared" si="5"/>
        <v>100</v>
      </c>
      <c r="T30" s="2"/>
      <c r="U30" s="2"/>
      <c r="V30" s="2"/>
      <c r="W30" s="2"/>
      <c r="X30" s="2"/>
      <c r="Y30" s="2"/>
      <c r="Z30" s="2"/>
    </row>
    <row r="31">
      <c r="A31" s="58">
        <v>29.0</v>
      </c>
      <c r="B31" s="59" t="str">
        <f>'Attendance Sheet'!C36</f>
        <v>Jeevan Giri</v>
      </c>
      <c r="C31" s="58" t="s">
        <v>113</v>
      </c>
      <c r="D31" s="58" t="s">
        <v>120</v>
      </c>
      <c r="E31" s="60" t="s">
        <v>115</v>
      </c>
      <c r="F31" s="58">
        <v>2.0</v>
      </c>
      <c r="G31" s="58" t="s">
        <v>116</v>
      </c>
      <c r="H31" s="61">
        <v>3.0</v>
      </c>
      <c r="I31" s="58">
        <v>3.0</v>
      </c>
      <c r="J31" s="61">
        <f t="shared" si="1"/>
        <v>100</v>
      </c>
      <c r="K31" s="61">
        <v>3.0</v>
      </c>
      <c r="L31" s="58">
        <v>3.0</v>
      </c>
      <c r="M31" s="62">
        <f t="shared" si="2"/>
        <v>100</v>
      </c>
      <c r="N31" s="61">
        <v>3.0</v>
      </c>
      <c r="O31" s="58">
        <v>3.0</v>
      </c>
      <c r="P31" s="61">
        <f t="shared" si="3"/>
        <v>100</v>
      </c>
      <c r="Q31" s="61">
        <f t="shared" si="4"/>
        <v>100</v>
      </c>
      <c r="R31" s="58"/>
      <c r="S31" s="2" t="str">
        <f t="shared" si="5"/>
        <v>100</v>
      </c>
      <c r="T31" s="2"/>
      <c r="U31" s="2"/>
      <c r="V31" s="2"/>
      <c r="W31" s="2"/>
      <c r="X31" s="2"/>
      <c r="Y31" s="2"/>
      <c r="Z31" s="2"/>
    </row>
    <row r="32">
      <c r="A32" s="58">
        <v>30.0</v>
      </c>
      <c r="B32" s="59" t="str">
        <f>'Attendance Sheet'!C37</f>
        <v>Kabita Chhetri</v>
      </c>
      <c r="C32" s="58" t="s">
        <v>113</v>
      </c>
      <c r="D32" s="58" t="s">
        <v>121</v>
      </c>
      <c r="E32" s="60" t="s">
        <v>115</v>
      </c>
      <c r="F32" s="58">
        <v>2.0</v>
      </c>
      <c r="G32" s="58" t="s">
        <v>116</v>
      </c>
      <c r="H32" s="61">
        <v>3.0</v>
      </c>
      <c r="I32" s="58">
        <v>3.0</v>
      </c>
      <c r="J32" s="61">
        <f t="shared" si="1"/>
        <v>100</v>
      </c>
      <c r="K32" s="61">
        <v>3.0</v>
      </c>
      <c r="L32" s="58">
        <v>3.0</v>
      </c>
      <c r="M32" s="62">
        <f t="shared" si="2"/>
        <v>100</v>
      </c>
      <c r="N32" s="61">
        <v>3.0</v>
      </c>
      <c r="O32" s="58">
        <v>3.0</v>
      </c>
      <c r="P32" s="61">
        <f t="shared" si="3"/>
        <v>100</v>
      </c>
      <c r="Q32" s="61">
        <f t="shared" si="4"/>
        <v>100</v>
      </c>
      <c r="R32" s="58"/>
      <c r="S32" s="2" t="str">
        <f t="shared" si="5"/>
        <v>100</v>
      </c>
      <c r="T32" s="2"/>
      <c r="U32" s="2"/>
      <c r="V32" s="2"/>
      <c r="W32" s="2"/>
      <c r="X32" s="2"/>
      <c r="Y32" s="2"/>
      <c r="Z32" s="2"/>
    </row>
    <row r="33">
      <c r="A33" s="58">
        <v>31.0</v>
      </c>
      <c r="B33" s="59" t="str">
        <f>'Attendance Sheet'!C38</f>
        <v>Lokesh Karki</v>
      </c>
      <c r="C33" s="58" t="s">
        <v>113</v>
      </c>
      <c r="D33" s="58" t="s">
        <v>122</v>
      </c>
      <c r="E33" s="60" t="s">
        <v>115</v>
      </c>
      <c r="F33" s="58">
        <v>2.0</v>
      </c>
      <c r="G33" s="58" t="s">
        <v>116</v>
      </c>
      <c r="H33" s="61">
        <v>3.0</v>
      </c>
      <c r="I33" s="58">
        <v>3.0</v>
      </c>
      <c r="J33" s="61">
        <f t="shared" si="1"/>
        <v>100</v>
      </c>
      <c r="K33" s="61">
        <v>3.0</v>
      </c>
      <c r="L33" s="58">
        <v>3.0</v>
      </c>
      <c r="M33" s="62">
        <f t="shared" si="2"/>
        <v>100</v>
      </c>
      <c r="N33" s="61">
        <v>3.0</v>
      </c>
      <c r="O33" s="58">
        <v>3.0</v>
      </c>
      <c r="P33" s="61">
        <f t="shared" si="3"/>
        <v>100</v>
      </c>
      <c r="Q33" s="61">
        <f t="shared" si="4"/>
        <v>100</v>
      </c>
      <c r="R33" s="58"/>
      <c r="S33" s="2" t="str">
        <f t="shared" si="5"/>
        <v>100</v>
      </c>
      <c r="T33" s="2"/>
      <c r="U33" s="2"/>
      <c r="V33" s="2"/>
      <c r="W33" s="2"/>
      <c r="X33" s="2"/>
      <c r="Y33" s="2"/>
      <c r="Z33" s="2"/>
    </row>
    <row r="34">
      <c r="A34" s="58">
        <v>32.0</v>
      </c>
      <c r="B34" s="59" t="str">
        <f>'Attendance Sheet'!C39</f>
        <v>Mamata Shahi</v>
      </c>
      <c r="C34" s="58" t="s">
        <v>113</v>
      </c>
      <c r="D34" s="58" t="s">
        <v>123</v>
      </c>
      <c r="E34" s="60" t="s">
        <v>115</v>
      </c>
      <c r="F34" s="58">
        <v>2.0</v>
      </c>
      <c r="G34" s="58" t="s">
        <v>116</v>
      </c>
      <c r="H34" s="61">
        <v>3.0</v>
      </c>
      <c r="I34" s="58">
        <v>3.0</v>
      </c>
      <c r="J34" s="61">
        <f t="shared" si="1"/>
        <v>100</v>
      </c>
      <c r="K34" s="61">
        <v>3.0</v>
      </c>
      <c r="L34" s="58">
        <v>3.0</v>
      </c>
      <c r="M34" s="62">
        <f t="shared" si="2"/>
        <v>100</v>
      </c>
      <c r="N34" s="61">
        <v>3.0</v>
      </c>
      <c r="O34" s="58">
        <v>3.0</v>
      </c>
      <c r="P34" s="61">
        <f t="shared" si="3"/>
        <v>100</v>
      </c>
      <c r="Q34" s="61">
        <f t="shared" si="4"/>
        <v>100</v>
      </c>
      <c r="R34" s="58"/>
      <c r="S34" s="2" t="str">
        <f t="shared" si="5"/>
        <v>100</v>
      </c>
      <c r="T34" s="2"/>
      <c r="U34" s="2"/>
      <c r="V34" s="2"/>
      <c r="W34" s="2"/>
      <c r="X34" s="2"/>
      <c r="Y34" s="2"/>
      <c r="Z34" s="2"/>
    </row>
    <row r="35">
      <c r="A35" s="58">
        <v>33.0</v>
      </c>
      <c r="B35" s="59" t="str">
        <f>'Attendance Sheet'!C40</f>
        <v>Nawaraj Bista</v>
      </c>
      <c r="C35" s="58" t="s">
        <v>113</v>
      </c>
      <c r="D35" s="58" t="s">
        <v>124</v>
      </c>
      <c r="E35" s="60" t="s">
        <v>115</v>
      </c>
      <c r="F35" s="58">
        <v>2.0</v>
      </c>
      <c r="G35" s="58" t="s">
        <v>116</v>
      </c>
      <c r="H35" s="61">
        <v>3.0</v>
      </c>
      <c r="I35" s="58">
        <v>3.0</v>
      </c>
      <c r="J35" s="61">
        <f t="shared" si="1"/>
        <v>100</v>
      </c>
      <c r="K35" s="61">
        <v>3.0</v>
      </c>
      <c r="L35" s="58">
        <v>3.0</v>
      </c>
      <c r="M35" s="62">
        <f t="shared" si="2"/>
        <v>100</v>
      </c>
      <c r="N35" s="61">
        <v>3.0</v>
      </c>
      <c r="O35" s="58">
        <v>3.0</v>
      </c>
      <c r="P35" s="61">
        <f t="shared" si="3"/>
        <v>100</v>
      </c>
      <c r="Q35" s="61">
        <f t="shared" si="4"/>
        <v>100</v>
      </c>
      <c r="R35" s="58"/>
      <c r="S35" s="2" t="str">
        <f t="shared" si="5"/>
        <v>100</v>
      </c>
      <c r="T35" s="2"/>
      <c r="U35" s="2"/>
      <c r="V35" s="2"/>
      <c r="W35" s="2"/>
      <c r="X35" s="2"/>
      <c r="Y35" s="2"/>
      <c r="Z35" s="2"/>
    </row>
    <row r="36">
      <c r="A36" s="2"/>
      <c r="B36" s="1"/>
      <c r="C36" s="2"/>
      <c r="D36" s="2"/>
      <c r="E36" s="2"/>
      <c r="F36" s="2"/>
      <c r="G36" s="2"/>
      <c r="H36" s="63"/>
      <c r="I36" s="2"/>
      <c r="J36" s="63"/>
      <c r="K36" s="63"/>
      <c r="L36" s="2"/>
      <c r="M36" s="63"/>
      <c r="N36" s="63"/>
      <c r="O36" s="2"/>
      <c r="P36" s="63"/>
      <c r="Q36" s="63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"/>
      <c r="C37" s="2"/>
      <c r="D37" s="2"/>
      <c r="E37" s="2"/>
      <c r="F37" s="2"/>
      <c r="G37" s="2"/>
      <c r="H37" s="63"/>
      <c r="I37" s="2"/>
      <c r="J37" s="63"/>
      <c r="K37" s="63"/>
      <c r="L37" s="2"/>
      <c r="M37" s="63"/>
      <c r="N37" s="63"/>
      <c r="O37" s="2"/>
      <c r="P37" s="63"/>
      <c r="Q37" s="63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"/>
      <c r="C38" s="2"/>
      <c r="D38" s="2"/>
      <c r="E38" s="2"/>
      <c r="F38" s="2"/>
      <c r="G38" s="2"/>
      <c r="H38" s="63"/>
      <c r="I38" s="2"/>
      <c r="J38" s="63"/>
      <c r="K38" s="63"/>
      <c r="L38" s="2"/>
      <c r="M38" s="63"/>
      <c r="N38" s="63"/>
      <c r="O38" s="2"/>
      <c r="P38" s="63"/>
      <c r="Q38" s="63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"/>
      <c r="C39" s="2"/>
      <c r="D39" s="2"/>
      <c r="E39" s="2"/>
      <c r="F39" s="2"/>
      <c r="G39" s="2"/>
      <c r="H39" s="63"/>
      <c r="I39" s="2"/>
      <c r="J39" s="63"/>
      <c r="K39" s="63"/>
      <c r="L39" s="2"/>
      <c r="M39" s="63"/>
      <c r="N39" s="63"/>
      <c r="O39" s="2"/>
      <c r="P39" s="63"/>
      <c r="Q39" s="63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"/>
      <c r="C40" s="2"/>
      <c r="D40" s="2"/>
      <c r="E40" s="2"/>
      <c r="F40" s="2"/>
      <c r="G40" s="2"/>
      <c r="H40" s="63"/>
      <c r="I40" s="2"/>
      <c r="J40" s="63"/>
      <c r="K40" s="63"/>
      <c r="L40" s="2"/>
      <c r="M40" s="63"/>
      <c r="N40" s="63"/>
      <c r="O40" s="2"/>
      <c r="P40" s="63"/>
      <c r="Q40" s="63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"/>
      <c r="C41" s="2"/>
      <c r="D41" s="2"/>
      <c r="E41" s="2"/>
      <c r="F41" s="2"/>
      <c r="G41" s="2"/>
      <c r="H41" s="63"/>
      <c r="I41" s="2"/>
      <c r="J41" s="63"/>
      <c r="K41" s="63"/>
      <c r="L41" s="2"/>
      <c r="M41" s="63"/>
      <c r="N41" s="63"/>
      <c r="O41" s="2"/>
      <c r="P41" s="63"/>
      <c r="Q41" s="63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"/>
      <c r="C42" s="2"/>
      <c r="D42" s="2"/>
      <c r="E42" s="2"/>
      <c r="F42" s="2"/>
      <c r="G42" s="2"/>
      <c r="H42" s="63"/>
      <c r="I42" s="2"/>
      <c r="J42" s="2"/>
      <c r="K42" s="63"/>
      <c r="L42" s="2"/>
      <c r="M42" s="63"/>
      <c r="N42" s="63"/>
      <c r="O42" s="2"/>
      <c r="P42" s="63"/>
      <c r="Q42" s="63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63"/>
      <c r="I43" s="2"/>
      <c r="J43" s="2"/>
      <c r="K43" s="63"/>
      <c r="L43" s="2"/>
      <c r="M43" s="63"/>
      <c r="N43" s="63"/>
      <c r="O43" s="2"/>
      <c r="P43" s="2"/>
      <c r="Q43" s="63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63"/>
      <c r="I44" s="2"/>
      <c r="J44" s="2"/>
      <c r="K44" s="63"/>
      <c r="L44" s="2"/>
      <c r="M44" s="63"/>
      <c r="N44" s="63"/>
      <c r="O44" s="2"/>
      <c r="P44" s="2"/>
      <c r="Q44" s="63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63"/>
      <c r="I45" s="2"/>
      <c r="J45" s="2"/>
      <c r="K45" s="63"/>
      <c r="L45" s="2"/>
      <c r="M45" s="63"/>
      <c r="N45" s="63"/>
      <c r="O45" s="2"/>
      <c r="P45" s="2"/>
      <c r="Q45" s="63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63"/>
      <c r="I46" s="2"/>
      <c r="J46" s="2"/>
      <c r="K46" s="63"/>
      <c r="L46" s="2"/>
      <c r="M46" s="63"/>
      <c r="N46" s="63"/>
      <c r="O46" s="2"/>
      <c r="P46" s="2"/>
      <c r="Q46" s="63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63"/>
      <c r="I47" s="2"/>
      <c r="J47" s="2"/>
      <c r="K47" s="63"/>
      <c r="L47" s="2"/>
      <c r="M47" s="63"/>
      <c r="N47" s="63"/>
      <c r="O47" s="2"/>
      <c r="P47" s="2"/>
      <c r="Q47" s="63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63"/>
      <c r="I48" s="2"/>
      <c r="J48" s="2"/>
      <c r="K48" s="63"/>
      <c r="L48" s="2"/>
      <c r="M48" s="63"/>
      <c r="N48" s="63"/>
      <c r="O48" s="2"/>
      <c r="P48" s="2"/>
      <c r="Q48" s="63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63"/>
      <c r="I49" s="2"/>
      <c r="J49" s="2"/>
      <c r="K49" s="63"/>
      <c r="L49" s="2"/>
      <c r="M49" s="63"/>
      <c r="N49" s="63"/>
      <c r="O49" s="2"/>
      <c r="P49" s="2"/>
      <c r="Q49" s="63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63"/>
      <c r="I50" s="2"/>
      <c r="J50" s="2"/>
      <c r="K50" s="63"/>
      <c r="L50" s="2"/>
      <c r="M50" s="63"/>
      <c r="N50" s="63"/>
      <c r="O50" s="2"/>
      <c r="P50" s="2"/>
      <c r="Q50" s="63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63"/>
      <c r="I51" s="2"/>
      <c r="J51" s="2"/>
      <c r="K51" s="63"/>
      <c r="L51" s="2"/>
      <c r="M51" s="63"/>
      <c r="N51" s="63"/>
      <c r="O51" s="2"/>
      <c r="P51" s="2"/>
      <c r="Q51" s="63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63"/>
      <c r="I52" s="2"/>
      <c r="J52" s="2"/>
      <c r="K52" s="63"/>
      <c r="L52" s="2"/>
      <c r="M52" s="63"/>
      <c r="N52" s="63"/>
      <c r="O52" s="2"/>
      <c r="P52" s="2"/>
      <c r="Q52" s="63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63"/>
      <c r="I53" s="2"/>
      <c r="J53" s="2"/>
      <c r="K53" s="63"/>
      <c r="L53" s="2"/>
      <c r="M53" s="63"/>
      <c r="N53" s="63"/>
      <c r="O53" s="2"/>
      <c r="P53" s="2"/>
      <c r="Q53" s="63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63"/>
      <c r="I54" s="2"/>
      <c r="J54" s="2"/>
      <c r="K54" s="63"/>
      <c r="L54" s="2"/>
      <c r="M54" s="63"/>
      <c r="N54" s="63"/>
      <c r="O54" s="2"/>
      <c r="P54" s="2"/>
      <c r="Q54" s="63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63"/>
      <c r="I55" s="2"/>
      <c r="J55" s="2"/>
      <c r="K55" s="63"/>
      <c r="L55" s="2"/>
      <c r="M55" s="63"/>
      <c r="N55" s="63"/>
      <c r="O55" s="2"/>
      <c r="P55" s="2"/>
      <c r="Q55" s="63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63"/>
      <c r="I56" s="2"/>
      <c r="J56" s="2"/>
      <c r="K56" s="63"/>
      <c r="L56" s="2"/>
      <c r="M56" s="63"/>
      <c r="N56" s="63"/>
      <c r="O56" s="2"/>
      <c r="P56" s="2"/>
      <c r="Q56" s="63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63"/>
      <c r="I57" s="2"/>
      <c r="J57" s="2"/>
      <c r="K57" s="63"/>
      <c r="L57" s="2"/>
      <c r="M57" s="63"/>
      <c r="N57" s="63"/>
      <c r="O57" s="2"/>
      <c r="P57" s="2"/>
      <c r="Q57" s="63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63"/>
      <c r="I58" s="2"/>
      <c r="J58" s="2"/>
      <c r="K58" s="63"/>
      <c r="L58" s="2"/>
      <c r="M58" s="63"/>
      <c r="N58" s="63"/>
      <c r="O58" s="2"/>
      <c r="P58" s="2"/>
      <c r="Q58" s="63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63"/>
      <c r="I59" s="2"/>
      <c r="J59" s="2"/>
      <c r="K59" s="63"/>
      <c r="L59" s="2"/>
      <c r="M59" s="63"/>
      <c r="N59" s="63"/>
      <c r="O59" s="2"/>
      <c r="P59" s="2"/>
      <c r="Q59" s="63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63"/>
      <c r="I60" s="2"/>
      <c r="J60" s="2"/>
      <c r="K60" s="63"/>
      <c r="L60" s="2"/>
      <c r="M60" s="63"/>
      <c r="N60" s="63"/>
      <c r="O60" s="2"/>
      <c r="P60" s="2"/>
      <c r="Q60" s="63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63"/>
      <c r="I61" s="2"/>
      <c r="J61" s="2"/>
      <c r="K61" s="63"/>
      <c r="L61" s="2"/>
      <c r="M61" s="63"/>
      <c r="N61" s="63"/>
      <c r="O61" s="2"/>
      <c r="P61" s="2"/>
      <c r="Q61" s="63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63"/>
      <c r="I62" s="2"/>
      <c r="J62" s="2"/>
      <c r="K62" s="63"/>
      <c r="L62" s="2"/>
      <c r="M62" s="63"/>
      <c r="N62" s="63"/>
      <c r="O62" s="2"/>
      <c r="P62" s="2"/>
      <c r="Q62" s="63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63"/>
      <c r="I63" s="2"/>
      <c r="J63" s="2"/>
      <c r="K63" s="63"/>
      <c r="L63" s="2"/>
      <c r="M63" s="63"/>
      <c r="N63" s="63"/>
      <c r="O63" s="2"/>
      <c r="P63" s="2"/>
      <c r="Q63" s="63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63"/>
      <c r="I64" s="2"/>
      <c r="J64" s="2"/>
      <c r="K64" s="63"/>
      <c r="L64" s="2"/>
      <c r="M64" s="63"/>
      <c r="N64" s="63"/>
      <c r="O64" s="2"/>
      <c r="P64" s="2"/>
      <c r="Q64" s="63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63"/>
      <c r="I65" s="2"/>
      <c r="J65" s="2"/>
      <c r="K65" s="63"/>
      <c r="L65" s="2"/>
      <c r="M65" s="63"/>
      <c r="N65" s="63"/>
      <c r="O65" s="2"/>
      <c r="P65" s="2"/>
      <c r="Q65" s="63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63"/>
      <c r="I66" s="2"/>
      <c r="J66" s="2"/>
      <c r="K66" s="63"/>
      <c r="L66" s="2"/>
      <c r="M66" s="63"/>
      <c r="N66" s="63"/>
      <c r="O66" s="2"/>
      <c r="P66" s="2"/>
      <c r="Q66" s="63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63"/>
      <c r="I67" s="2"/>
      <c r="J67" s="2"/>
      <c r="K67" s="63"/>
      <c r="L67" s="2"/>
      <c r="M67" s="63"/>
      <c r="N67" s="63"/>
      <c r="O67" s="2"/>
      <c r="P67" s="2"/>
      <c r="Q67" s="63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63"/>
      <c r="I68" s="2"/>
      <c r="J68" s="2"/>
      <c r="K68" s="63"/>
      <c r="L68" s="2"/>
      <c r="M68" s="63"/>
      <c r="N68" s="63"/>
      <c r="O68" s="2"/>
      <c r="P68" s="2"/>
      <c r="Q68" s="63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63"/>
      <c r="I69" s="2"/>
      <c r="J69" s="2"/>
      <c r="K69" s="63"/>
      <c r="L69" s="2"/>
      <c r="M69" s="63"/>
      <c r="N69" s="63"/>
      <c r="O69" s="2"/>
      <c r="P69" s="2"/>
      <c r="Q69" s="63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63"/>
      <c r="I70" s="2"/>
      <c r="J70" s="2"/>
      <c r="K70" s="63"/>
      <c r="L70" s="2"/>
      <c r="M70" s="63"/>
      <c r="N70" s="63"/>
      <c r="O70" s="2"/>
      <c r="P70" s="2"/>
      <c r="Q70" s="63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63"/>
      <c r="I71" s="2"/>
      <c r="J71" s="2"/>
      <c r="K71" s="63"/>
      <c r="L71" s="2"/>
      <c r="M71" s="63"/>
      <c r="N71" s="63"/>
      <c r="O71" s="2"/>
      <c r="P71" s="2"/>
      <c r="Q71" s="63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63"/>
      <c r="I72" s="2"/>
      <c r="J72" s="2"/>
      <c r="K72" s="63"/>
      <c r="L72" s="2"/>
      <c r="M72" s="63"/>
      <c r="N72" s="63"/>
      <c r="O72" s="2"/>
      <c r="P72" s="2"/>
      <c r="Q72" s="63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63"/>
      <c r="I73" s="2"/>
      <c r="J73" s="2"/>
      <c r="K73" s="63"/>
      <c r="L73" s="2"/>
      <c r="M73" s="63"/>
      <c r="N73" s="63"/>
      <c r="O73" s="2"/>
      <c r="P73" s="2"/>
      <c r="Q73" s="63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63"/>
      <c r="I74" s="2"/>
      <c r="J74" s="2"/>
      <c r="K74" s="63"/>
      <c r="L74" s="2"/>
      <c r="M74" s="63"/>
      <c r="N74" s="63"/>
      <c r="O74" s="2"/>
      <c r="P74" s="2"/>
      <c r="Q74" s="63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63"/>
      <c r="I75" s="2"/>
      <c r="J75" s="2"/>
      <c r="K75" s="63"/>
      <c r="L75" s="2"/>
      <c r="M75" s="63"/>
      <c r="N75" s="63"/>
      <c r="O75" s="2"/>
      <c r="P75" s="2"/>
      <c r="Q75" s="63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63"/>
      <c r="I76" s="2"/>
      <c r="J76" s="2"/>
      <c r="K76" s="63"/>
      <c r="L76" s="2"/>
      <c r="M76" s="63"/>
      <c r="N76" s="63"/>
      <c r="O76" s="2"/>
      <c r="P76" s="2"/>
      <c r="Q76" s="63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63"/>
      <c r="I77" s="2"/>
      <c r="J77" s="2"/>
      <c r="K77" s="63"/>
      <c r="L77" s="2"/>
      <c r="M77" s="63"/>
      <c r="N77" s="63"/>
      <c r="O77" s="2"/>
      <c r="P77" s="2"/>
      <c r="Q77" s="63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63"/>
      <c r="I78" s="2"/>
      <c r="J78" s="2"/>
      <c r="K78" s="63"/>
      <c r="L78" s="2"/>
      <c r="M78" s="63"/>
      <c r="N78" s="63"/>
      <c r="O78" s="2"/>
      <c r="P78" s="2"/>
      <c r="Q78" s="63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63"/>
      <c r="I79" s="2"/>
      <c r="J79" s="2"/>
      <c r="K79" s="63"/>
      <c r="L79" s="2"/>
      <c r="M79" s="63"/>
      <c r="N79" s="63"/>
      <c r="O79" s="2"/>
      <c r="P79" s="2"/>
      <c r="Q79" s="63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63"/>
      <c r="I80" s="2"/>
      <c r="J80" s="2"/>
      <c r="K80" s="63"/>
      <c r="L80" s="2"/>
      <c r="M80" s="63"/>
      <c r="N80" s="63"/>
      <c r="O80" s="2"/>
      <c r="P80" s="2"/>
      <c r="Q80" s="63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63"/>
      <c r="I81" s="2"/>
      <c r="J81" s="2"/>
      <c r="K81" s="63"/>
      <c r="L81" s="2"/>
      <c r="M81" s="63"/>
      <c r="N81" s="63"/>
      <c r="O81" s="2"/>
      <c r="P81" s="2"/>
      <c r="Q81" s="63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63"/>
      <c r="I82" s="2"/>
      <c r="J82" s="2"/>
      <c r="K82" s="63"/>
      <c r="L82" s="2"/>
      <c r="M82" s="63"/>
      <c r="N82" s="63"/>
      <c r="O82" s="2"/>
      <c r="P82" s="2"/>
      <c r="Q82" s="63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63"/>
      <c r="I83" s="2"/>
      <c r="J83" s="2"/>
      <c r="K83" s="63"/>
      <c r="L83" s="2"/>
      <c r="M83" s="63"/>
      <c r="N83" s="63"/>
      <c r="O83" s="2"/>
      <c r="P83" s="2"/>
      <c r="Q83" s="63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63"/>
      <c r="I84" s="2"/>
      <c r="J84" s="2"/>
      <c r="K84" s="63"/>
      <c r="L84" s="2"/>
      <c r="M84" s="63"/>
      <c r="N84" s="63"/>
      <c r="O84" s="2"/>
      <c r="P84" s="2"/>
      <c r="Q84" s="63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63"/>
      <c r="I85" s="2"/>
      <c r="J85" s="2"/>
      <c r="K85" s="63"/>
      <c r="L85" s="2"/>
      <c r="M85" s="63"/>
      <c r="N85" s="63"/>
      <c r="O85" s="2"/>
      <c r="P85" s="2"/>
      <c r="Q85" s="63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63"/>
      <c r="I86" s="2"/>
      <c r="J86" s="2"/>
      <c r="K86" s="63"/>
      <c r="L86" s="2"/>
      <c r="M86" s="63"/>
      <c r="N86" s="63"/>
      <c r="O86" s="2"/>
      <c r="P86" s="2"/>
      <c r="Q86" s="63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63"/>
      <c r="I87" s="2"/>
      <c r="J87" s="2"/>
      <c r="K87" s="63"/>
      <c r="L87" s="2"/>
      <c r="M87" s="63"/>
      <c r="N87" s="63"/>
      <c r="O87" s="2"/>
      <c r="P87" s="2"/>
      <c r="Q87" s="63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63"/>
      <c r="I88" s="2"/>
      <c r="J88" s="2"/>
      <c r="K88" s="63"/>
      <c r="L88" s="2"/>
      <c r="M88" s="63"/>
      <c r="N88" s="63"/>
      <c r="O88" s="2"/>
      <c r="P88" s="2"/>
      <c r="Q88" s="63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63"/>
      <c r="I89" s="2"/>
      <c r="J89" s="2"/>
      <c r="K89" s="63"/>
      <c r="L89" s="2"/>
      <c r="M89" s="63"/>
      <c r="N89" s="63"/>
      <c r="O89" s="2"/>
      <c r="P89" s="2"/>
      <c r="Q89" s="63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63"/>
      <c r="I90" s="2"/>
      <c r="J90" s="2"/>
      <c r="K90" s="63"/>
      <c r="L90" s="2"/>
      <c r="M90" s="63"/>
      <c r="N90" s="63"/>
      <c r="O90" s="2"/>
      <c r="P90" s="2"/>
      <c r="Q90" s="63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63"/>
      <c r="I91" s="2"/>
      <c r="J91" s="2"/>
      <c r="K91" s="63"/>
      <c r="L91" s="2"/>
      <c r="M91" s="63"/>
      <c r="N91" s="63"/>
      <c r="O91" s="2"/>
      <c r="P91" s="2"/>
      <c r="Q91" s="63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63"/>
      <c r="I92" s="2"/>
      <c r="J92" s="2"/>
      <c r="K92" s="63"/>
      <c r="L92" s="2"/>
      <c r="M92" s="63"/>
      <c r="N92" s="63"/>
      <c r="O92" s="2"/>
      <c r="P92" s="2"/>
      <c r="Q92" s="63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63"/>
      <c r="I93" s="2"/>
      <c r="J93" s="2"/>
      <c r="K93" s="63"/>
      <c r="L93" s="2"/>
      <c r="M93" s="63"/>
      <c r="N93" s="63"/>
      <c r="O93" s="2"/>
      <c r="P93" s="2"/>
      <c r="Q93" s="63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63"/>
      <c r="I94" s="2"/>
      <c r="J94" s="2"/>
      <c r="K94" s="63"/>
      <c r="L94" s="2"/>
      <c r="M94" s="63"/>
      <c r="N94" s="63"/>
      <c r="O94" s="2"/>
      <c r="P94" s="2"/>
      <c r="Q94" s="63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63"/>
      <c r="I95" s="2"/>
      <c r="J95" s="2"/>
      <c r="K95" s="63"/>
      <c r="L95" s="2"/>
      <c r="M95" s="63"/>
      <c r="N95" s="63"/>
      <c r="O95" s="2"/>
      <c r="P95" s="2"/>
      <c r="Q95" s="63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63"/>
      <c r="I96" s="2"/>
      <c r="J96" s="2"/>
      <c r="K96" s="63"/>
      <c r="L96" s="2"/>
      <c r="M96" s="63"/>
      <c r="N96" s="63"/>
      <c r="O96" s="2"/>
      <c r="P96" s="2"/>
      <c r="Q96" s="63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63"/>
      <c r="I97" s="2"/>
      <c r="J97" s="2"/>
      <c r="K97" s="63"/>
      <c r="L97" s="2"/>
      <c r="M97" s="63"/>
      <c r="N97" s="63"/>
      <c r="O97" s="2"/>
      <c r="P97" s="2"/>
      <c r="Q97" s="63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63"/>
      <c r="I98" s="2"/>
      <c r="J98" s="2"/>
      <c r="K98" s="63"/>
      <c r="L98" s="2"/>
      <c r="M98" s="63"/>
      <c r="N98" s="63"/>
      <c r="O98" s="2"/>
      <c r="P98" s="2"/>
      <c r="Q98" s="63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63"/>
      <c r="I99" s="2"/>
      <c r="J99" s="2"/>
      <c r="K99" s="63"/>
      <c r="L99" s="2"/>
      <c r="M99" s="63"/>
      <c r="N99" s="63"/>
      <c r="O99" s="2"/>
      <c r="P99" s="2"/>
      <c r="Q99" s="63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63"/>
      <c r="I100" s="2"/>
      <c r="J100" s="2"/>
      <c r="K100" s="63"/>
      <c r="L100" s="2"/>
      <c r="M100" s="63"/>
      <c r="N100" s="63"/>
      <c r="O100" s="2"/>
      <c r="P100" s="2"/>
      <c r="Q100" s="63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63"/>
      <c r="I101" s="2"/>
      <c r="J101" s="2"/>
      <c r="K101" s="63"/>
      <c r="L101" s="2"/>
      <c r="M101" s="63"/>
      <c r="N101" s="63"/>
      <c r="O101" s="2"/>
      <c r="P101" s="2"/>
      <c r="Q101" s="63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63"/>
      <c r="I102" s="2"/>
      <c r="J102" s="2"/>
      <c r="K102" s="63"/>
      <c r="L102" s="2"/>
      <c r="M102" s="63"/>
      <c r="N102" s="63"/>
      <c r="O102" s="2"/>
      <c r="P102" s="2"/>
      <c r="Q102" s="63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63"/>
      <c r="I103" s="2"/>
      <c r="J103" s="2"/>
      <c r="K103" s="63"/>
      <c r="L103" s="2"/>
      <c r="M103" s="63"/>
      <c r="N103" s="63"/>
      <c r="O103" s="2"/>
      <c r="P103" s="2"/>
      <c r="Q103" s="63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63"/>
      <c r="I104" s="2"/>
      <c r="J104" s="2"/>
      <c r="K104" s="63"/>
      <c r="L104" s="2"/>
      <c r="M104" s="63"/>
      <c r="N104" s="63"/>
      <c r="O104" s="2"/>
      <c r="P104" s="2"/>
      <c r="Q104" s="63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63"/>
      <c r="I105" s="2"/>
      <c r="J105" s="2"/>
      <c r="K105" s="63"/>
      <c r="L105" s="2"/>
      <c r="M105" s="63"/>
      <c r="N105" s="63"/>
      <c r="O105" s="2"/>
      <c r="P105" s="2"/>
      <c r="Q105" s="63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63"/>
      <c r="I106" s="2"/>
      <c r="J106" s="2"/>
      <c r="K106" s="63"/>
      <c r="L106" s="2"/>
      <c r="M106" s="63"/>
      <c r="N106" s="63"/>
      <c r="O106" s="2"/>
      <c r="P106" s="2"/>
      <c r="Q106" s="63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63"/>
      <c r="I107" s="2"/>
      <c r="J107" s="2"/>
      <c r="K107" s="63"/>
      <c r="L107" s="2"/>
      <c r="M107" s="63"/>
      <c r="N107" s="63"/>
      <c r="O107" s="2"/>
      <c r="P107" s="2"/>
      <c r="Q107" s="63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63"/>
      <c r="I108" s="2"/>
      <c r="J108" s="2"/>
      <c r="K108" s="63"/>
      <c r="L108" s="2"/>
      <c r="M108" s="63"/>
      <c r="N108" s="63"/>
      <c r="O108" s="2"/>
      <c r="P108" s="2"/>
      <c r="Q108" s="63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63"/>
      <c r="I109" s="2"/>
      <c r="J109" s="2"/>
      <c r="K109" s="63"/>
      <c r="L109" s="2"/>
      <c r="M109" s="63"/>
      <c r="N109" s="63"/>
      <c r="O109" s="2"/>
      <c r="P109" s="2"/>
      <c r="Q109" s="63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63"/>
      <c r="I110" s="2"/>
      <c r="J110" s="2"/>
      <c r="K110" s="63"/>
      <c r="L110" s="2"/>
      <c r="M110" s="63"/>
      <c r="N110" s="63"/>
      <c r="O110" s="2"/>
      <c r="P110" s="2"/>
      <c r="Q110" s="63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63"/>
      <c r="I111" s="2"/>
      <c r="J111" s="2"/>
      <c r="K111" s="63"/>
      <c r="L111" s="2"/>
      <c r="M111" s="63"/>
      <c r="N111" s="63"/>
      <c r="O111" s="2"/>
      <c r="P111" s="2"/>
      <c r="Q111" s="63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63"/>
      <c r="I112" s="2"/>
      <c r="J112" s="2"/>
      <c r="K112" s="63"/>
      <c r="L112" s="2"/>
      <c r="M112" s="63"/>
      <c r="N112" s="63"/>
      <c r="O112" s="2"/>
      <c r="P112" s="2"/>
      <c r="Q112" s="63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63"/>
      <c r="I113" s="2"/>
      <c r="J113" s="2"/>
      <c r="K113" s="63"/>
      <c r="L113" s="2"/>
      <c r="M113" s="63"/>
      <c r="N113" s="63"/>
      <c r="O113" s="2"/>
      <c r="P113" s="2"/>
      <c r="Q113" s="63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63"/>
      <c r="I114" s="2"/>
      <c r="J114" s="2"/>
      <c r="K114" s="63"/>
      <c r="L114" s="2"/>
      <c r="M114" s="63"/>
      <c r="N114" s="63"/>
      <c r="O114" s="2"/>
      <c r="P114" s="2"/>
      <c r="Q114" s="63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63"/>
      <c r="I115" s="2"/>
      <c r="J115" s="2"/>
      <c r="K115" s="63"/>
      <c r="L115" s="2"/>
      <c r="M115" s="63"/>
      <c r="N115" s="63"/>
      <c r="O115" s="2"/>
      <c r="P115" s="2"/>
      <c r="Q115" s="63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63"/>
      <c r="I116" s="2"/>
      <c r="J116" s="2"/>
      <c r="K116" s="63"/>
      <c r="L116" s="2"/>
      <c r="M116" s="63"/>
      <c r="N116" s="63"/>
      <c r="O116" s="2"/>
      <c r="P116" s="2"/>
      <c r="Q116" s="63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63"/>
      <c r="I117" s="2"/>
      <c r="J117" s="2"/>
      <c r="K117" s="63"/>
      <c r="L117" s="2"/>
      <c r="M117" s="63"/>
      <c r="N117" s="63"/>
      <c r="O117" s="2"/>
      <c r="P117" s="2"/>
      <c r="Q117" s="63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63"/>
      <c r="I118" s="2"/>
      <c r="J118" s="2"/>
      <c r="K118" s="63"/>
      <c r="L118" s="2"/>
      <c r="M118" s="63"/>
      <c r="N118" s="63"/>
      <c r="O118" s="2"/>
      <c r="P118" s="2"/>
      <c r="Q118" s="63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63"/>
      <c r="I119" s="2"/>
      <c r="J119" s="2"/>
      <c r="K119" s="63"/>
      <c r="L119" s="2"/>
      <c r="M119" s="63"/>
      <c r="N119" s="63"/>
      <c r="O119" s="2"/>
      <c r="P119" s="2"/>
      <c r="Q119" s="63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63"/>
      <c r="I120" s="2"/>
      <c r="J120" s="2"/>
      <c r="K120" s="63"/>
      <c r="L120" s="2"/>
      <c r="M120" s="63"/>
      <c r="N120" s="63"/>
      <c r="O120" s="2"/>
      <c r="P120" s="2"/>
      <c r="Q120" s="63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63"/>
      <c r="I121" s="2"/>
      <c r="J121" s="2"/>
      <c r="K121" s="63"/>
      <c r="L121" s="2"/>
      <c r="M121" s="63"/>
      <c r="N121" s="63"/>
      <c r="O121" s="2"/>
      <c r="P121" s="2"/>
      <c r="Q121" s="63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63"/>
      <c r="I122" s="2"/>
      <c r="J122" s="2"/>
      <c r="K122" s="63"/>
      <c r="L122" s="2"/>
      <c r="M122" s="63"/>
      <c r="N122" s="63"/>
      <c r="O122" s="2"/>
      <c r="P122" s="2"/>
      <c r="Q122" s="63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63"/>
      <c r="I123" s="2"/>
      <c r="J123" s="2"/>
      <c r="K123" s="63"/>
      <c r="L123" s="2"/>
      <c r="M123" s="63"/>
      <c r="N123" s="63"/>
      <c r="O123" s="2"/>
      <c r="P123" s="2"/>
      <c r="Q123" s="63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63"/>
      <c r="I124" s="2"/>
      <c r="J124" s="2"/>
      <c r="K124" s="63"/>
      <c r="L124" s="2"/>
      <c r="M124" s="63"/>
      <c r="N124" s="63"/>
      <c r="O124" s="2"/>
      <c r="P124" s="2"/>
      <c r="Q124" s="63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63"/>
      <c r="I125" s="2"/>
      <c r="J125" s="2"/>
      <c r="K125" s="63"/>
      <c r="L125" s="2"/>
      <c r="M125" s="63"/>
      <c r="N125" s="63"/>
      <c r="O125" s="2"/>
      <c r="P125" s="2"/>
      <c r="Q125" s="63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63"/>
      <c r="I126" s="2"/>
      <c r="J126" s="2"/>
      <c r="K126" s="63"/>
      <c r="L126" s="2"/>
      <c r="M126" s="63"/>
      <c r="N126" s="63"/>
      <c r="O126" s="2"/>
      <c r="P126" s="2"/>
      <c r="Q126" s="63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63"/>
      <c r="I127" s="2"/>
      <c r="J127" s="2"/>
      <c r="K127" s="63"/>
      <c r="L127" s="2"/>
      <c r="M127" s="63"/>
      <c r="N127" s="63"/>
      <c r="O127" s="2"/>
      <c r="P127" s="2"/>
      <c r="Q127" s="63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63"/>
      <c r="I128" s="2"/>
      <c r="J128" s="2"/>
      <c r="K128" s="63"/>
      <c r="L128" s="2"/>
      <c r="M128" s="63"/>
      <c r="N128" s="63"/>
      <c r="O128" s="2"/>
      <c r="P128" s="2"/>
      <c r="Q128" s="63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63"/>
      <c r="I129" s="2"/>
      <c r="J129" s="2"/>
      <c r="K129" s="63"/>
      <c r="L129" s="2"/>
      <c r="M129" s="63"/>
      <c r="N129" s="63"/>
      <c r="O129" s="2"/>
      <c r="P129" s="2"/>
      <c r="Q129" s="63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63"/>
      <c r="I130" s="2"/>
      <c r="J130" s="2"/>
      <c r="K130" s="63"/>
      <c r="L130" s="2"/>
      <c r="M130" s="63"/>
      <c r="N130" s="63"/>
      <c r="O130" s="2"/>
      <c r="P130" s="2"/>
      <c r="Q130" s="63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63"/>
      <c r="I131" s="2"/>
      <c r="J131" s="2"/>
      <c r="K131" s="63"/>
      <c r="L131" s="2"/>
      <c r="M131" s="63"/>
      <c r="N131" s="63"/>
      <c r="O131" s="2"/>
      <c r="P131" s="2"/>
      <c r="Q131" s="63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63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63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63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63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63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63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63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63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63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63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63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63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63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63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63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63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63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63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63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63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63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63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63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63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63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63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63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63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63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63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63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63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63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63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63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63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63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63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63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63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63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63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63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63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63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63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63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63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63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63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63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63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63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63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63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63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63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63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63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63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63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63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63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63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63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63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63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63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63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63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63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63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63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63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63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63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63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63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63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63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63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63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63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63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63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63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63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63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63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63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63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63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63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63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63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63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63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63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63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63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63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63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63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63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63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63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63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63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63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63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63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63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63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63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63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63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63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63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63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63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63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63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63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63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63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63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63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63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63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63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63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63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63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63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63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63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63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63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63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63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63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63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63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63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63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63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63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63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63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63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63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63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63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63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63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63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63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63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63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63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63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63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63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63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63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63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63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63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63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63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63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63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63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63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63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63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63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63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63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63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63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63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63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63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63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63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63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63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63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63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63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63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63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63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63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63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63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63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63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63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63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63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63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63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63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63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63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63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63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63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63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63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63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63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63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63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63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63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63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63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63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63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63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63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63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63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63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63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63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63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63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63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63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63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63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63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63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63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63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63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63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63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63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63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63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63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63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63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63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63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63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63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63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63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63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63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63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63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63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63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63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63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63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63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63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63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63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63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63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63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63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63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63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63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63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63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63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63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63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63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63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63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63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63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63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63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63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63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63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63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63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63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63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63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63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63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63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63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63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63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63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63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63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63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63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63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63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63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63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63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63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63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63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63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63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63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63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63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63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63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63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63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63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63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63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63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63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63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63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63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63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63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63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63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63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63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63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63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63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63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63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63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63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63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63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63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63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63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63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63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63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63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63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63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63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63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63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63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63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63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63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63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63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63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63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63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63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63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63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63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63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63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63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63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63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63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63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63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63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63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63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63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63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63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63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63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63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63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63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63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63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63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63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63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63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63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63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63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63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63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63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63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63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63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63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63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63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63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63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63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63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63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63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63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63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63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63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63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63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63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63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63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63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63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63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63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63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63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63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63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63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63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63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63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63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63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63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63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63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63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63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63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63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63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63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63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63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63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63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63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63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63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63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63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63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63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63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63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63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63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63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63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63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63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63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63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63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63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63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63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63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63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63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63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63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63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63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63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63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63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63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63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63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63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63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63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63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63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63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63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63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63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63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63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63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63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63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63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63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63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63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63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63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63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63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63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63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63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63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63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63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63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63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63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63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63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63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63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63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63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63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63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63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63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63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63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63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63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63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63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63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63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63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63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63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63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63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63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63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63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63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63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63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63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63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63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63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63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63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63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63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63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63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63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63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63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63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63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63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63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63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63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63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63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63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63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63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63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63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63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63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63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63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63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63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63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63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63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63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63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63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63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63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63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63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63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63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63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63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63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63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63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63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63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63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63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63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63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63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63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63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63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63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63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63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63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63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63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63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63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63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63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63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63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63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63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63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63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63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63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63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63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63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63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63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63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63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63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63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63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63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63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63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63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63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63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63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63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63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63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63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63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63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63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63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63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63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63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63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63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63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63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63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63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63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63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63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63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63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63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63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63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63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63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63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63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63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63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63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63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63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63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63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63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63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63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63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63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63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63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63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63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63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63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63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63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63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63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63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63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63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63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63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63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63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63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63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63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63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63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63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63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63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63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63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63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63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63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63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63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63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63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63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63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63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63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63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63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63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63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63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63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63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63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63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63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63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63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63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63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63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63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63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63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63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63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63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63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63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">
    <mergeCell ref="H1:J1"/>
    <mergeCell ref="K1:M1"/>
    <mergeCell ref="N1:P1"/>
  </mergeCells>
  <drawing r:id="rId1"/>
</worksheet>
</file>